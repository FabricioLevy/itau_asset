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lon.koga\Desktop\marlon\A1CrossCountryRate\input\update_bloomberg_regression\"/>
    </mc:Choice>
  </mc:AlternateContent>
  <xr:revisionPtr revIDLastSave="0" documentId="13_ncr:1_{B782CD09-3762-4599-838C-11F2DF6B09A8}" xr6:coauthVersionLast="45" xr6:coauthVersionMax="45" xr10:uidLastSave="{00000000-0000-0000-0000-000000000000}"/>
  <bookViews>
    <workbookView xWindow="-120" yWindow="-120" windowWidth="29040" windowHeight="15840" xr2:uid="{9C9D8392-6F93-4174-8FED-A8C48E9AC508}"/>
  </bookViews>
  <sheets>
    <sheet name="bloomberg" sheetId="2" r:id="rId1"/>
    <sheet name="bloomberg (2)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18" i="4" l="1" a="1"/>
  <c r="C14" i="4" a="1"/>
  <c r="C6" i="4" a="1"/>
  <c r="C2" i="4" a="1"/>
  <c r="C25" i="4" a="1"/>
  <c r="C13" i="4" a="1"/>
  <c r="C5" i="4" a="1"/>
  <c r="C24" i="4" a="1"/>
  <c r="C16" i="4" a="1"/>
  <c r="C8" i="4" a="1"/>
  <c r="C23" i="4" a="1"/>
  <c r="C15" i="4" a="1"/>
  <c r="C7" i="4" a="1"/>
  <c r="C22" i="4" a="1"/>
  <c r="C10" i="4" a="1"/>
  <c r="C21" i="4" a="1"/>
  <c r="C17" i="4" a="1"/>
  <c r="C9" i="4" a="1"/>
  <c r="C20" i="4" a="1"/>
  <c r="C12" i="4" a="1"/>
  <c r="C4" i="4" a="1"/>
  <c r="C19" i="4" a="1"/>
  <c r="C11" i="4" a="1"/>
  <c r="C3" i="4" a="1"/>
  <c r="C20" i="2" a="1"/>
  <c r="C25" i="2" a="1"/>
  <c r="C21" i="2" a="1"/>
  <c r="C18" i="2" a="1"/>
  <c r="C3" i="2" a="1"/>
  <c r="C23" i="2" a="1"/>
  <c r="C19" i="2" a="1"/>
  <c r="C22" i="2" a="1"/>
  <c r="C10" i="2" a="1"/>
  <c r="C2" i="2" a="1"/>
  <c r="C8" i="2" a="1"/>
  <c r="C5" i="2" a="1"/>
  <c r="C12" i="2" a="1"/>
  <c r="C9" i="2" a="1"/>
  <c r="C16" i="2" a="1"/>
  <c r="C11" i="2" a="1"/>
  <c r="C4" i="2" a="1"/>
  <c r="C17" i="2" a="1"/>
  <c r="C15" i="2" a="1"/>
  <c r="C13" i="2" a="1"/>
  <c r="C6" i="2" a="1"/>
  <c r="C14" i="2" a="1"/>
  <c r="C24" i="2" a="1"/>
  <c r="C7" i="2" a="1"/>
  <c r="C14" i="2"/>
  <c r="C18" i="2"/>
  <c r="C22" i="2"/>
  <c r="C16" i="2"/>
  <c r="C23" i="2"/>
  <c r="C24" i="2"/>
  <c r="C5" i="2"/>
  <c r="C11" i="2"/>
  <c r="C17" i="2"/>
  <c r="C4" i="2"/>
  <c r="C15" i="2"/>
  <c r="C9" i="2"/>
  <c r="C8" i="2"/>
  <c r="C20" i="2"/>
  <c r="C25" i="2"/>
  <c r="C19" i="2"/>
  <c r="C7" i="2"/>
  <c r="C13" i="2"/>
  <c r="C21" i="2"/>
  <c r="C12" i="2"/>
  <c r="C2" i="2"/>
  <c r="C6" i="2"/>
  <c r="C10" i="2"/>
  <c r="C3" i="2"/>
  <c r="C3" i="4" l="1"/>
  <c r="C11" i="4"/>
  <c r="C19" i="4"/>
  <c r="C4" i="4"/>
  <c r="C12" i="4"/>
  <c r="C20" i="4"/>
  <c r="C9" i="4"/>
  <c r="C17" i="4"/>
  <c r="C21" i="4"/>
  <c r="C10" i="4"/>
  <c r="C22" i="4"/>
  <c r="C7" i="4"/>
  <c r="C15" i="4"/>
  <c r="C23" i="4"/>
  <c r="C8" i="4"/>
  <c r="C16" i="4"/>
  <c r="C24" i="4"/>
  <c r="C5" i="4"/>
  <c r="C13" i="4"/>
  <c r="C25" i="4"/>
  <c r="C2" i="4"/>
  <c r="C6" i="4"/>
  <c r="C14" i="4"/>
  <c r="C1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<sst xmlns="http://schemas.openxmlformats.org/spreadsheetml/2006/main" count="486" uniqueCount="221">
  <si>
    <t>expjuros</t>
  </si>
  <si>
    <t>cds5y</t>
  </si>
  <si>
    <t>cds10y</t>
  </si>
  <si>
    <t>defnom%</t>
  </si>
  <si>
    <t>pardivnresid</t>
  </si>
  <si>
    <t>txdes</t>
  </si>
  <si>
    <t>metainfl</t>
  </si>
  <si>
    <t>Taxa de juros pré 2 anos</t>
  </si>
  <si>
    <t>Taxa de juros pré 5 anos</t>
  </si>
  <si>
    <t>Expectativa Inflação 12 meses a frente</t>
  </si>
  <si>
    <t>CDS 5 anos</t>
  </si>
  <si>
    <t>CDS 10 anos</t>
  </si>
  <si>
    <t>Parcela da dívida local detida por estrangeiros ou não-residentes</t>
  </si>
  <si>
    <t>Taxa de Desemprego</t>
  </si>
  <si>
    <t>Metas de Inflação</t>
  </si>
  <si>
    <t>Taxa de juros pré 1 anos</t>
  </si>
  <si>
    <t>BRFCSA Index</t>
  </si>
  <si>
    <t>BRFCML Index</t>
  </si>
  <si>
    <t>PRDI1800 Index</t>
  </si>
  <si>
    <t>PREDI720 Index</t>
  </si>
  <si>
    <t>PREDI360 Index</t>
  </si>
  <si>
    <t>txpre06m</t>
  </si>
  <si>
    <t>PREDI180 Index</t>
  </si>
  <si>
    <t>txpre12m</t>
  </si>
  <si>
    <t>txpre24m</t>
  </si>
  <si>
    <t>txpre60m</t>
  </si>
  <si>
    <t>Taxa de juros pré 6 meses</t>
  </si>
  <si>
    <t>BZMTTARG Index</t>
  </si>
  <si>
    <t>BRAZIL CDS USD SR 5Y D14 Corp</t>
  </si>
  <si>
    <t>BRAZIL CDS USD SR 10Y D14 Corp</t>
  </si>
  <si>
    <t>BRLDXCRP Index</t>
  </si>
  <si>
    <t>cc</t>
  </si>
  <si>
    <t>BZCACURR Index</t>
  </si>
  <si>
    <t>BZIDINTL Index</t>
  </si>
  <si>
    <t>resint</t>
  </si>
  <si>
    <t>Dívida líquida pública (%PIB)</t>
  </si>
  <si>
    <t>Dívida bruta pública (%PIB)</t>
  </si>
  <si>
    <t>cambio</t>
  </si>
  <si>
    <t>USDBRL Curncy</t>
  </si>
  <si>
    <t>Conta corrente (%PIB)</t>
  </si>
  <si>
    <t>EHCABR Index</t>
  </si>
  <si>
    <t>cc%</t>
  </si>
  <si>
    <t>tradebalance</t>
  </si>
  <si>
    <t>BZCNCNI Index</t>
  </si>
  <si>
    <t>Industry Capacity Utilization</t>
  </si>
  <si>
    <t>indutil</t>
  </si>
  <si>
    <t>Brasil</t>
  </si>
  <si>
    <t>Description</t>
  </si>
  <si>
    <t>Handle</t>
  </si>
  <si>
    <t>Mexico</t>
  </si>
  <si>
    <t>Colombia</t>
  </si>
  <si>
    <t>Chile</t>
  </si>
  <si>
    <t>Africa do Sul</t>
  </si>
  <si>
    <t>Russia</t>
  </si>
  <si>
    <t>Turquia</t>
  </si>
  <si>
    <t>USDMXN Curncy</t>
  </si>
  <si>
    <t>USDCOP Curncy</t>
  </si>
  <si>
    <t>USDCLP Curncy</t>
  </si>
  <si>
    <t>USDZAR Curncy</t>
  </si>
  <si>
    <t>USDRUB Curncy</t>
  </si>
  <si>
    <t>EHCAMX Index</t>
  </si>
  <si>
    <t>EHCACO Index</t>
  </si>
  <si>
    <t>EHCACL Index</t>
  </si>
  <si>
    <t>EHCAZA Index</t>
  </si>
  <si>
    <t>EHCARU Index</t>
  </si>
  <si>
    <t>USDTRY Curncy</t>
  </si>
  <si>
    <t>EHCATR Index</t>
  </si>
  <si>
    <t>Bloomberg description</t>
  </si>
  <si>
    <t>ECOYBBRN Index</t>
  </si>
  <si>
    <t>ECOYBMXN Index</t>
  </si>
  <si>
    <t>Obs</t>
  </si>
  <si>
    <t>ECOYBCLN Index</t>
  </si>
  <si>
    <t>ECOYBCON Index</t>
  </si>
  <si>
    <t>ECOYBZAN Index</t>
  </si>
  <si>
    <t>ECOYBTRN Index</t>
  </si>
  <si>
    <t>MPSWF Curncy</t>
  </si>
  <si>
    <t>MPSW1A Curncy</t>
  </si>
  <si>
    <t>MPSW2B Curncy</t>
  </si>
  <si>
    <t>MPSW5E Curncy</t>
  </si>
  <si>
    <t>CLSWIBF Curncy</t>
  </si>
  <si>
    <t>CLSWIB1 Curncy</t>
  </si>
  <si>
    <t>CLSWIB2 Curncy</t>
  </si>
  <si>
    <t>CLSWIB5 Curncy</t>
  </si>
  <si>
    <t>CHSWPC Curncy</t>
  </si>
  <si>
    <t>CHSWP1 Curncy</t>
  </si>
  <si>
    <t>CHSWP2 Curncy</t>
  </si>
  <si>
    <t>CHSWP5 Curncy</t>
  </si>
  <si>
    <t>SASWF Curncy</t>
  </si>
  <si>
    <t>SASW1 Curncy</t>
  </si>
  <si>
    <t>SASW2 Curncy</t>
  </si>
  <si>
    <t>SASW5 Curncy</t>
  </si>
  <si>
    <t>RRUSSWF Curncy</t>
  </si>
  <si>
    <t>RRUSSW1 Curncy</t>
  </si>
  <si>
    <t>RRUSSW2 Curncy</t>
  </si>
  <si>
    <t>RRUSSW5 Curncy</t>
  </si>
  <si>
    <t>TYUSSW1 Curncy</t>
  </si>
  <si>
    <t>TYUSSW2 Curncy</t>
  </si>
  <si>
    <t>TYUSSW5 Curncy</t>
  </si>
  <si>
    <t>TYUSSWF Curncy</t>
  </si>
  <si>
    <t>IDH%MEX Index</t>
  </si>
  <si>
    <t>IGS%MEX Index</t>
  </si>
  <si>
    <t>IGS%COL Index</t>
  </si>
  <si>
    <t>IDH%COL Index</t>
  </si>
  <si>
    <t>IDH%CHL Index</t>
  </si>
  <si>
    <t>IGS%RUS Index</t>
  </si>
  <si>
    <t>IDH%TUR Index</t>
  </si>
  <si>
    <t>IGS%TUR Index</t>
  </si>
  <si>
    <t>IGS%CHL Index</t>
  </si>
  <si>
    <t>IDH%BRA Index</t>
  </si>
  <si>
    <t>IGS%BRA Index</t>
  </si>
  <si>
    <t>MXMNBSMT Index</t>
  </si>
  <si>
    <t>-</t>
  </si>
  <si>
    <t>EHUPMX Index</t>
  </si>
  <si>
    <t>EHUPBR Index</t>
  </si>
  <si>
    <t>EHUPCL Index</t>
  </si>
  <si>
    <t>EHUPCH Index</t>
  </si>
  <si>
    <t>EHUPZA Index</t>
  </si>
  <si>
    <t>EHUPRU Index</t>
  </si>
  <si>
    <t>EHUPTR Index</t>
  </si>
  <si>
    <t>MXIRINUS Index</t>
  </si>
  <si>
    <t>COBPBALN Index</t>
  </si>
  <si>
    <t>CHMRRSRV Index</t>
  </si>
  <si>
    <t>SANOFER$ Index</t>
  </si>
  <si>
    <t>TURWGOLD Index</t>
  </si>
  <si>
    <t>MXCACUAC Index</t>
  </si>
  <si>
    <t>COBPCURR Index</t>
  </si>
  <si>
    <t>CLBPCURA Index</t>
  </si>
  <si>
    <t>SACTLVL Index</t>
  </si>
  <si>
    <t>RUCACAL Index</t>
  </si>
  <si>
    <t>TUCALNEW Index</t>
  </si>
  <si>
    <t>RUBNPTFR Index</t>
  </si>
  <si>
    <t>(this can be composed by dividing the amount of debt with foreigners and locals)</t>
  </si>
  <si>
    <t>Resultado do orçamento (%PIB)</t>
  </si>
  <si>
    <t>EHBBMX Index</t>
  </si>
  <si>
    <t>EHBBCL Index</t>
  </si>
  <si>
    <t>EHBBZA Index</t>
  </si>
  <si>
    <t>EHBBRU Index</t>
  </si>
  <si>
    <t>EHBBTR Index</t>
  </si>
  <si>
    <t>MEX CDS USD SR 5Y D14 Curncy</t>
  </si>
  <si>
    <t>MEX CDS USD SR 10Y D14 Curncy</t>
  </si>
  <si>
    <t>COLOM CDS USD SR 5Y D14 Curncy</t>
  </si>
  <si>
    <t>COLOM CDS USD SR 10Y D14 Curncy</t>
  </si>
  <si>
    <t>CHILE CDS USD SR 5Y D14 Curncy</t>
  </si>
  <si>
    <t>CHILE CDS USD SR 10Y D14 Curncy</t>
  </si>
  <si>
    <t>REPSOU CDS USD SR 5Y D14 Curncy</t>
  </si>
  <si>
    <t>RUSSIA CDS USD SR 5Y D14 Curncy</t>
  </si>
  <si>
    <t>TURKEY CDS USD SR 5Y D14 Curncy</t>
  </si>
  <si>
    <t>USA</t>
  </si>
  <si>
    <t>EHBBUS Index</t>
  </si>
  <si>
    <t>USNCBAL Index</t>
  </si>
  <si>
    <t>EHUPUS Index</t>
  </si>
  <si>
    <t>USSWF Curncy</t>
  </si>
  <si>
    <t>USSW1 Curncy</t>
  </si>
  <si>
    <t>USSW2 Curncy</t>
  </si>
  <si>
    <t>USSW5 Curncy</t>
  </si>
  <si>
    <t>IDH%USA Index</t>
  </si>
  <si>
    <t>IGS%USA Index</t>
  </si>
  <si>
    <t>EHCAUS Index</t>
  </si>
  <si>
    <t>MTRGINFT Index</t>
  </si>
  <si>
    <t>CINTUPPR Index</t>
  </si>
  <si>
    <t>CLMTTARG Index</t>
  </si>
  <si>
    <t>EHPICO Index</t>
  </si>
  <si>
    <t>ECPICL 20 Index</t>
  </si>
  <si>
    <t>ECGDZA 20 Index</t>
  </si>
  <si>
    <t>EHPIRU Index</t>
  </si>
  <si>
    <t>EHPITR Index</t>
  </si>
  <si>
    <t>EHPIUS Index</t>
  </si>
  <si>
    <t>MXONBR Index</t>
  </si>
  <si>
    <t>RREFKANN Index</t>
  </si>
  <si>
    <t>EHPIMX Index</t>
  </si>
  <si>
    <t>ECPICO 20 Index</t>
  </si>
  <si>
    <t>ECPIMX 20 Index</t>
  </si>
  <si>
    <t>EHPIZA Index</t>
  </si>
  <si>
    <t>EHPIRU 20 Index</t>
  </si>
  <si>
    <t>ECPITR 20 Index</t>
  </si>
  <si>
    <t>ECPIUS 20 Index</t>
  </si>
  <si>
    <t>EHBBBR Index</t>
  </si>
  <si>
    <t>EHPIBR Index</t>
  </si>
  <si>
    <t>ECPIBR 20 Index</t>
  </si>
  <si>
    <t>ECOYBRUN Index</t>
  </si>
  <si>
    <t>CHOVCHOV Index</t>
  </si>
  <si>
    <t>TUBR1WRA Index</t>
  </si>
  <si>
    <t>MXFLONA0 Index</t>
  </si>
  <si>
    <t>CLMRTPMN Index</t>
  </si>
  <si>
    <t>cpiforecast</t>
  </si>
  <si>
    <t>cpi</t>
  </si>
  <si>
    <t>Inflação YoY %</t>
  </si>
  <si>
    <t>Juros do Banco Central</t>
  </si>
  <si>
    <t>Expectativas do mercado para a taxa de juros</t>
  </si>
  <si>
    <t>jurobc</t>
  </si>
  <si>
    <t>IDH%ZAF Index</t>
  </si>
  <si>
    <t>IGS%ZAF Index</t>
  </si>
  <si>
    <t>SARPRT Index</t>
  </si>
  <si>
    <t>txpre03m</t>
  </si>
  <si>
    <t>Taxa de juros pré 3 meses</t>
  </si>
  <si>
    <t>PREDI90 Index</t>
  </si>
  <si>
    <t>MPSWC Curncy</t>
  </si>
  <si>
    <t>CLSWIBC Curncy</t>
  </si>
  <si>
    <t>SASWC Curncy</t>
  </si>
  <si>
    <t>RRUSSWC Curncy</t>
  </si>
  <si>
    <t>TYUSSWC Curncy</t>
  </si>
  <si>
    <t>USSWC Curncy</t>
  </si>
  <si>
    <t>CHSWPF Curncy</t>
  </si>
  <si>
    <t>CORRRMIN Index</t>
  </si>
  <si>
    <t>FDTRMID Index</t>
  </si>
  <si>
    <t>divbruta%</t>
  </si>
  <si>
    <t>divpub%</t>
  </si>
  <si>
    <t>FDINBRA Index</t>
  </si>
  <si>
    <t>FDINMEX Index</t>
  </si>
  <si>
    <t>FDINCOL Index</t>
  </si>
  <si>
    <t>FDINCHL Index</t>
  </si>
  <si>
    <t>FDINZAF Index</t>
  </si>
  <si>
    <t>FDINRUS Index</t>
  </si>
  <si>
    <t>FDINTUR Index</t>
  </si>
  <si>
    <t>FDINUSA Index</t>
  </si>
  <si>
    <t>Foreign Direct Investment net inflow % GDP</t>
  </si>
  <si>
    <t>fdi%</t>
  </si>
  <si>
    <t>Conta corrente (não usar)</t>
  </si>
  <si>
    <t>Câmbio (não usar)</t>
  </si>
  <si>
    <t>Reservas Internacionais (não usar)</t>
  </si>
  <si>
    <t>Trade balance (não usar)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</si>
</sst>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4" borderId="0" xfId="0" applyFill="1" applyAlignment="1">
      <alignment vertical="center"/>
    </xf>
    <xf numFmtId="0" fontId="0" fillId="0" borderId="0" xfId="0" applyFill="1"/>
    <xf numFmtId="0" fontId="2" fillId="3" borderId="0" xfId="0" applyFont="1" applyFill="1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3" borderId="0" xfId="0" applyFont="1" applyFill="1"/>
    <xf numFmtId="0" fontId="1" fillId="5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loomberg.rtd">
      <tp t="s">
        <v>PRExDI SWAP AVG 90d</v>
        <stp/>
        <stp>##V3_BDPV12</stp>
        <stp>PREDI90 Index</stp>
        <stp>security_name</stp>
        <stp>[tickers.xlsx]bloomberg!R15C3</stp>
        <tr r="C15" s="2"/>
      </tp>
      <tp t="s">
        <v>BRAZIL CDS USD SR 5Y D14</v>
        <stp/>
        <stp>##V3_BDPV12</stp>
        <stp>BRAZIL CDS USD SR 5Y D14 Corp</stp>
        <stp>name</stp>
        <stp>[tickers.xlsx]bloomberg!R6C3</stp>
        <tr r="C6" s="2"/>
      </tp>
      <tp t="s">
        <v>BZ Public Debt Non-Resident %</v>
        <stp/>
        <stp>##V3_BDPV12</stp>
        <stp>BRLDXCRP Index</stp>
        <stp>security_name</stp>
        <stp>[tickers.xlsx]bloomberg!R9C3</stp>
        <tr r="C9" s="2"/>
      </tp>
      <tp t="s">
        <v>PRExDI SWAP AVG 720d</v>
        <stp/>
        <stp>##V3_BDPV12</stp>
        <stp>PREDI720 Index</stp>
        <stp>security_name</stp>
        <stp>[tickers.xlsx]bloomberg!R18C3</stp>
        <tr r="C18" s="2"/>
      </tp>
      <tp t="s">
        <v>US DOLLAR/BRAZIL REAL</v>
        <stp/>
        <stp>##V3_BDPV12</stp>
        <stp>USDBRL Curncy</stp>
        <stp>security_name</stp>
        <stp>[tickers.xlsx]bloomberg!R22C3</stp>
        <tr r="C22" s="2"/>
      </tp>
      <tp t="s">
        <v>PRExDI SWAP AVG 180d</v>
        <stp/>
        <stp>##V3_BDPV12</stp>
        <stp>PREDI180 Index</stp>
        <stp>security_name</stp>
        <stp>[tickers.xlsx]bloomberg!R16C3</stp>
        <tr r="C16" s="2"/>
      </tp>
      <tp t="s">
        <v>Brazil Current Acct. Bal.</v>
        <stp/>
        <stp>##V3_BDPV12</stp>
        <stp>EHCABR Index</stp>
        <stp>security_name</stp>
        <stp>[tickers.xlsx]bloomberg (2)!R23C3</stp>
        <tr r="C23" s="4"/>
      </tp>
      <tp t="s">
        <v>Brazil Unemployment</v>
        <stp/>
        <stp>##V3_BDPV12</stp>
        <stp>EHUPBR Index</stp>
        <stp>security_name</stp>
        <stp>[tickers.xlsx]bloomberg (2)!R13C3</stp>
        <tr r="C13" s="4"/>
      </tp>
      <tp t="s">
        <v>PRExDI SWAP AVG 360d</v>
        <stp/>
        <stp>##V3_BDPV12</stp>
        <stp>PREDI360 Index</stp>
        <stp>security_name</stp>
        <stp>[tickers.xlsx]bloomberg!R17C3</stp>
        <tr r="C17" s="2"/>
      </tp>
      <tp t="s">
        <v>PRExDI SWAP AVG 1800d</v>
        <stp/>
        <stp>##V3_BDPV12</stp>
        <stp>PRDI1800 Index</stp>
        <stp>security_name</stp>
        <stp>[tickers.xlsx]bloomberg!R19C3</stp>
        <tr r="C19" s="2"/>
      </tp>
    </main>
    <main first="bloomberg.rtd">
      <tp t="s">
        <v>PRExDI SWAP AVG 90d</v>
        <stp/>
        <stp>##V3_BDPV12</stp>
        <stp>PREDI90 Index</stp>
        <stp>security_name</stp>
        <stp>[tickers.xlsx]bloomberg (2)!R15C3</stp>
        <tr r="C15" s="4"/>
      </tp>
      <tp t="s">
        <v>BRAZIL CDS USD SR 5Y D14</v>
        <stp/>
        <stp>##V3_BDPV12</stp>
        <stp>BRAZIL CDS USD SR 5Y D14 Corp</stp>
        <stp>name</stp>
        <stp>[tickers.xlsx]bloomberg (2)!R6C3</stp>
        <tr r="C6" s="4"/>
      </tp>
      <tp t="s">
        <v>PRExDI SWAP AVG 360d</v>
        <stp/>
        <stp>##V3_BDPV12</stp>
        <stp>PREDI360 Index</stp>
        <stp>security_name</stp>
        <stp>[tickers.xlsx]bloomberg (2)!R17C3</stp>
        <tr r="C17" s="4"/>
      </tp>
      <tp t="s">
        <v>US DOLLAR/BRAZIL REAL</v>
        <stp/>
        <stp>##V3_BDPV12</stp>
        <stp>USDBRL Curncy</stp>
        <stp>security_name</stp>
        <stp>[tickers.xlsx]bloomberg (2)!R22C3</stp>
        <tr r="C22" s="4"/>
      </tp>
      <tp t="s">
        <v>Brazil Unemployment</v>
        <stp/>
        <stp>##V3_BDPV12</stp>
        <stp>EHUPBR Index</stp>
        <stp>security_name</stp>
        <stp>[tickers.xlsx]bloomberg!R13C3</stp>
        <tr r="C13" s="2"/>
      </tp>
      <tp t="s">
        <v>Brazil Current Acct. Bal.</v>
        <stp/>
        <stp>##V3_BDPV12</stp>
        <stp>EHCABR Index</stp>
        <stp>security_name</stp>
        <stp>[tickers.xlsx]bloomberg!R23C3</stp>
        <tr r="C23" s="2"/>
      </tp>
      <tp t="s">
        <v>PRExDI SWAP AVG 180d</v>
        <stp/>
        <stp>##V3_BDPV12</stp>
        <stp>PREDI180 Index</stp>
        <stp>security_name</stp>
        <stp>[tickers.xlsx]bloomberg (2)!R16C3</stp>
        <tr r="C16" s="4"/>
      </tp>
      <tp t="s">
        <v>PRExDI SWAP AVG 1800d</v>
        <stp/>
        <stp>##V3_BDPV12</stp>
        <stp>PRDI1800 Index</stp>
        <stp>security_name</stp>
        <stp>[tickers.xlsx]bloomberg (2)!R19C3</stp>
        <tr r="C19" s="4"/>
      </tp>
      <tp t="s">
        <v>PRExDI SWAP AVG 720d</v>
        <stp/>
        <stp>##V3_BDPV12</stp>
        <stp>PREDI720 Index</stp>
        <stp>security_name</stp>
        <stp>[tickers.xlsx]bloomberg (2)!R18C3</stp>
        <tr r="C18" s="4"/>
      </tp>
      <tp t="s">
        <v>BZ Public Debt Non-Resident %</v>
        <stp/>
        <stp>##V3_BDPV12</stp>
        <stp>BRLDXCRP Index</stp>
        <stp>security_name</stp>
        <stp>[tickers.xlsx]bloomberg (2)!R9C3</stp>
        <tr r="C9" s="4"/>
      </tp>
      <tp t="s">
        <v>BRAZIL CDS USD SR 10Y D14</v>
        <stp/>
        <stp>##V3_BDPV12</stp>
        <stp>BRAZIL CDS USD SR 10Y D14 Corp</stp>
        <stp>name</stp>
        <stp>[tickers.xlsx]bloomberg (2)!R7C3</stp>
        <tr r="C7" s="4"/>
      </tp>
      <tp t="s">
        <v>Selic Avg Annual Rate Survey</v>
        <stp/>
        <stp>##V3_BDPV12</stp>
        <stp>BRFCSA Index</stp>
        <stp>security_name</stp>
        <stp>[tickers.xlsx]bloomberg!R2C3</stp>
        <tr r="C2" s="2"/>
      </tp>
      <tp t="s">
        <v>Brazil CPI Forecast</v>
        <stp/>
        <stp>##V3_BDPV12</stp>
        <stp>ECPIBR 20 Index</stp>
        <stp>security_name</stp>
        <stp>[tickers.xlsx]bloomberg (2)!R4C3</stp>
        <tr r="C4" s="4"/>
      </tp>
      <tp t="s">
        <v>Gen Govt Grs Debt % of GDP BR</v>
        <stp/>
        <stp>##V3_BDPV12</stp>
        <stp>IGS%BRA Index</stp>
        <stp>security_name</stp>
        <stp>[tickers.xlsx]bloomberg (2)!R21C3</stp>
        <tr r="C21" s="4"/>
      </tp>
      <tp t="s">
        <v>BRAZIL INT'L RESInt'l Resr</v>
        <stp/>
        <stp>##V3_BDPV12</stp>
        <stp>BZIDINTL Index</stp>
        <stp>security_name</stp>
        <stp>[tickers.xlsx]bloomberg (2)!R12C3</stp>
        <tr r="C12" s="4"/>
      </tp>
      <tp t="s">
        <v>Gen Govt Net Debt % of GDP BR</v>
        <stp/>
        <stp>##V3_BDPV12</stp>
        <stp>IDH%BRA Index</stp>
        <stp>security_name</stp>
        <stp>[tickers.xlsx]bloomberg (2)!R20C3</stp>
        <tr r="C20" s="4"/>
      </tp>
      <tp t="s">
        <v>Brazil Inflation Target</v>
        <stp/>
        <stp>##V3_BDPV12</stp>
        <stp>BZMTTARG Index</stp>
        <stp>security_name</stp>
        <stp>[tickers.xlsx]bloomberg (2)!R14C3</stp>
        <tr r="C14" s="4"/>
      </tp>
      <tp t="s">
        <v>BX.KLT.DINV.WD.GD.ZS BRA</v>
        <stp/>
        <stp>##V3_BDPV12</stp>
        <stp>FDINBRA Index</stp>
        <stp>security_name</stp>
        <stp>[tickers.xlsx]bloomberg (2)!R11C3</stp>
        <tr r="C11" s="4"/>
      </tp>
      <tp t="s">
        <v>BR Trade Balance NSA</v>
        <stp/>
        <stp>##V3_BDPV12</stp>
        <stp>ECOYBBRN Index</stp>
        <stp>security_name</stp>
        <stp>[tickers.xlsx]bloomberg (2)!R24C3</stp>
        <tr r="C24" s="4"/>
      </tp>
      <tp t="s">
        <v>BZ Current Account</v>
        <stp/>
        <stp>##V3_BDPV12</stp>
        <stp>BZCACURR Index</stp>
        <stp>security_name</stp>
        <stp>[tickers.xlsx]bloomberg (2)!R10C3</stp>
        <tr r="C10" s="4"/>
      </tp>
      <tp t="s">
        <v>Brazil CNI IndexCAPCTY NSA</v>
        <stp/>
        <stp>##V3_BDPV12</stp>
        <stp>BZCNCNI Index</stp>
        <stp>security_name</stp>
        <stp>[tickers.xlsx]bloomberg (2)!R25C3</stp>
        <tr r="C25" s="4"/>
      </tp>
      <tp t="s">
        <v>Brazil CPI</v>
        <stp/>
        <stp>##V3_BDPV12</stp>
        <stp>EHPIBR Index</stp>
        <stp>security_name</stp>
        <stp>[tickers.xlsx]bloomberg!R5C3</stp>
        <tr r="C5" s="2"/>
      </tp>
      <tp t="s">
        <v>Selic Monthly Survey</v>
        <stp/>
        <stp>##V3_BDPV12</stp>
        <stp>BRFCML Index</stp>
        <stp>security_name</stp>
        <stp>[tickers.xlsx]bloomberg!R3C3</stp>
        <tr r="C3" s="2"/>
      </tp>
      <tp t="s">
        <v>Brazil Budget Balance</v>
        <stp/>
        <stp>##V3_BDPV12</stp>
        <stp>EHBBBR Index</stp>
        <stp>security_name</stp>
        <stp>[tickers.xlsx]bloomberg!R8C3</stp>
        <tr r="C8" s="2"/>
      </tp>
      <tp t="s">
        <v>Gen Govt Grs Debt % of GDP BR</v>
        <stp/>
        <stp>##V3_BDPV12</stp>
        <stp>IGS%BRA Index</stp>
        <stp>security_name</stp>
        <stp>[tickers.xlsx]bloomberg!R21C3</stp>
        <tr r="C21" s="2"/>
      </tp>
      <tp t="s">
        <v>BRAZIL INT'L RESInt'l Resr</v>
        <stp/>
        <stp>##V3_BDPV12</stp>
        <stp>BZIDINTL Index</stp>
        <stp>security_name</stp>
        <stp>[tickers.xlsx]bloomberg!R12C3</stp>
        <tr r="C12" s="2"/>
      </tp>
      <tp t="s">
        <v>Brazil CPI</v>
        <stp/>
        <stp>##V3_BDPV12</stp>
        <stp>EHPIBR Index</stp>
        <stp>security_name</stp>
        <stp>[tickers.xlsx]bloomberg (2)!R5C3</stp>
        <tr r="C5" s="4"/>
      </tp>
      <tp t="s">
        <v>Brazil Budget Balance</v>
        <stp/>
        <stp>##V3_BDPV12</stp>
        <stp>EHBBBR Index</stp>
        <stp>security_name</stp>
        <stp>[tickers.xlsx]bloomberg (2)!R8C3</stp>
        <tr r="C8" s="4"/>
      </tp>
      <tp t="s">
        <v>Selic Monthly Survey</v>
        <stp/>
        <stp>##V3_BDPV12</stp>
        <stp>BRFCML Index</stp>
        <stp>security_name</stp>
        <stp>[tickers.xlsx]bloomberg (2)!R3C3</stp>
        <tr r="C3" s="4"/>
      </tp>
      <tp t="s">
        <v>Selic Avg Annual Rate Survey</v>
        <stp/>
        <stp>##V3_BDPV12</stp>
        <stp>BRFCSA Index</stp>
        <stp>security_name</stp>
        <stp>[tickers.xlsx]bloomberg (2)!R2C3</stp>
        <tr r="C2" s="4"/>
      </tp>
      <tp t="s">
        <v>BRAZIL CDS USD SR 10Y D14</v>
        <stp/>
        <stp>##V3_BDPV12</stp>
        <stp>BRAZIL CDS USD SR 10Y D14 Corp</stp>
        <stp>name</stp>
        <stp>[tickers.xlsx]bloomberg!R7C3</stp>
        <tr r="C7" s="2"/>
      </tp>
      <tp t="s">
        <v>Gen Govt Net Debt % of GDP BR</v>
        <stp/>
        <stp>##V3_BDPV12</stp>
        <stp>IDH%BRA Index</stp>
        <stp>security_name</stp>
        <stp>[tickers.xlsx]bloomberg!R20C3</stp>
        <tr r="C20" s="2"/>
      </tp>
      <tp t="s">
        <v>BX.KLT.DINV.WD.GD.ZS BRA</v>
        <stp/>
        <stp>##V3_BDPV12</stp>
        <stp>FDINBRA Index</stp>
        <stp>security_name</stp>
        <stp>[tickers.xlsx]bloomberg!R11C3</stp>
        <tr r="C11" s="2"/>
      </tp>
      <tp t="s">
        <v>Brazil Inflation Target</v>
        <stp/>
        <stp>##V3_BDPV12</stp>
        <stp>BZMTTARG Index</stp>
        <stp>security_name</stp>
        <stp>[tickers.xlsx]bloomberg!R14C3</stp>
        <tr r="C14" s="2"/>
      </tp>
      <tp t="s">
        <v>Brazil CPI Forecast</v>
        <stp/>
        <stp>##V3_BDPV12</stp>
        <stp>ECPIBR 20 Index</stp>
        <stp>security_name</stp>
        <stp>[tickers.xlsx]bloomberg!R4C3</stp>
        <tr r="C4" s="2"/>
      </tp>
      <tp t="s">
        <v>BZ Current Account</v>
        <stp/>
        <stp>##V3_BDPV12</stp>
        <stp>BZCACURR Index</stp>
        <stp>security_name</stp>
        <stp>[tickers.xlsx]bloomberg!R10C3</stp>
        <tr r="C10" s="2"/>
      </tp>
      <tp t="s">
        <v>BR Trade Balance NSA</v>
        <stp/>
        <stp>##V3_BDPV12</stp>
        <stp>ECOYBBRN Index</stp>
        <stp>security_name</stp>
        <stp>[tickers.xlsx]bloomberg!R24C3</stp>
        <tr r="C24" s="2"/>
      </tp>
      <tp t="s">
        <v>Brazil CNI IndexCAPCTY NSA</v>
        <stp/>
        <stp>##V3_BDPV12</stp>
        <stp>BZCNCNI Index</stp>
        <stp>security_name</stp>
        <stp>[tickers.xlsx]bloomberg!R25C3</stp>
        <tr r="C25" s="2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volatileDependencies" Target="volatileDependencies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26B059-14E2-436A-8E65-5C541DB31E26}">
  <dimension ref="A1:L25"/>
  <sheetViews>
    <sheetView tabSelected="1" zoomScale="85" zoomScaleNormal="85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D10" sqref="D10"/>
    </sheetView>
  </sheetViews>
  <sheetFormatPr defaultRowHeight="15" x14ac:dyDescent="0.25"/>
  <cols>
    <col min="1" max="1" width="13" customWidth="1"/>
    <col min="2" max="2" width="61.28515625" customWidth="1"/>
    <col min="3" max="3" width="28.5703125" bestFit="1" customWidth="1"/>
    <col min="4" max="4" width="29" bestFit="1" customWidth="1"/>
    <col min="5" max="5" width="15" bestFit="1" customWidth="1"/>
    <col min="6" max="6" width="14.42578125" bestFit="1" customWidth="1"/>
    <col min="7" max="7" width="13.85546875" bestFit="1" customWidth="1"/>
    <col min="8" max="8" width="14.140625" bestFit="1" customWidth="1"/>
    <col min="9" max="9" width="14.28515625" bestFit="1" customWidth="1"/>
    <col min="10" max="10" width="15.85546875" bestFit="1" customWidth="1"/>
    <col min="11" max="11" width="14" customWidth="1"/>
  </cols>
  <sheetData>
    <row r="1" spans="1:12" x14ac:dyDescent="0.25">
      <c r="A1" t="s">
        <v>48</v>
      </c>
      <c r="B1" t="s">
        <v>47</v>
      </c>
      <c r="C1" t="s">
        <v>67</v>
      </c>
      <c r="D1" t="s">
        <v>46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147</v>
      </c>
      <c r="L1" t="s">
        <v>70</v>
      </c>
    </row>
    <row r="2" spans="1:12" x14ac:dyDescent="0.25">
      <c r="A2" s="13" t="s">
        <v>189</v>
      </c>
      <c r="B2" s="2" t="s">
        <v>187</v>
      </c>
      <c r="C2" t="str" cm="1">
        <f t="array" ref="C2">_xll.BDP(D2,"security_name")</f>
        <v>Selic Avg Annual Rate Survey</v>
      </c>
      <c r="D2" s="8" t="s">
        <v>16</v>
      </c>
      <c r="E2" s="8" t="s">
        <v>167</v>
      </c>
      <c r="F2" s="8" t="s">
        <v>203</v>
      </c>
      <c r="G2" s="8" t="s">
        <v>180</v>
      </c>
      <c r="H2" s="8" t="s">
        <v>192</v>
      </c>
      <c r="I2" s="8" t="s">
        <v>168</v>
      </c>
      <c r="J2" s="8" t="s">
        <v>181</v>
      </c>
      <c r="K2" s="8" t="s">
        <v>204</v>
      </c>
      <c r="L2" t="s">
        <v>111</v>
      </c>
    </row>
    <row r="3" spans="1:12" x14ac:dyDescent="0.25">
      <c r="A3" s="13" t="s">
        <v>0</v>
      </c>
      <c r="B3" s="2" t="s">
        <v>188</v>
      </c>
      <c r="C3" t="str" cm="1">
        <f t="array" ref="C3">_xll.BDP(D3,"security_name")</f>
        <v>Selic Monthly Survey</v>
      </c>
      <c r="D3" s="8" t="s">
        <v>17</v>
      </c>
      <c r="E3" s="8" t="s">
        <v>182</v>
      </c>
      <c r="F3" s="5"/>
      <c r="G3" t="s">
        <v>183</v>
      </c>
      <c r="H3" s="5"/>
      <c r="I3" s="5"/>
      <c r="J3" s="12"/>
      <c r="K3" s="9"/>
      <c r="L3" t="s">
        <v>111</v>
      </c>
    </row>
    <row r="4" spans="1:12" x14ac:dyDescent="0.25">
      <c r="A4" s="13" t="s">
        <v>184</v>
      </c>
      <c r="B4" s="2" t="s">
        <v>9</v>
      </c>
      <c r="C4" t="str" cm="1">
        <f t="array" ref="C4">_xll.BDP(D4,"security_name")</f>
        <v>Brazil CPI Forecast</v>
      </c>
      <c r="D4" s="6" t="s">
        <v>178</v>
      </c>
      <c r="E4" s="6" t="s">
        <v>171</v>
      </c>
      <c r="F4" s="6" t="s">
        <v>170</v>
      </c>
      <c r="G4" s="6" t="s">
        <v>162</v>
      </c>
      <c r="H4" s="6" t="s">
        <v>163</v>
      </c>
      <c r="I4" s="6" t="s">
        <v>173</v>
      </c>
      <c r="J4" s="6" t="s">
        <v>174</v>
      </c>
      <c r="K4" s="6" t="s">
        <v>175</v>
      </c>
      <c r="L4" t="s">
        <v>111</v>
      </c>
    </row>
    <row r="5" spans="1:12" x14ac:dyDescent="0.25">
      <c r="A5" s="13" t="s">
        <v>185</v>
      </c>
      <c r="B5" s="2" t="s">
        <v>186</v>
      </c>
      <c r="C5" t="str" cm="1">
        <f t="array" ref="C5">_xll.BDP(D5,"security_name")</f>
        <v>Brazil CPI</v>
      </c>
      <c r="D5" s="6" t="s">
        <v>177</v>
      </c>
      <c r="E5" s="6" t="s">
        <v>169</v>
      </c>
      <c r="F5" s="6" t="s">
        <v>161</v>
      </c>
      <c r="G5" s="6" t="s">
        <v>161</v>
      </c>
      <c r="H5" s="6" t="s">
        <v>172</v>
      </c>
      <c r="I5" s="6" t="s">
        <v>164</v>
      </c>
      <c r="J5" s="6" t="s">
        <v>165</v>
      </c>
      <c r="K5" s="6" t="s">
        <v>166</v>
      </c>
      <c r="L5" t="s">
        <v>111</v>
      </c>
    </row>
    <row r="6" spans="1:12" x14ac:dyDescent="0.25">
      <c r="A6" s="10" t="s">
        <v>1</v>
      </c>
      <c r="B6" s="2" t="s">
        <v>10</v>
      </c>
      <c r="C6" t="str" cm="1">
        <f t="array" ref="C6">_xll.BDP(D6,"name")</f>
        <v>BRAZIL CDS USD SR 5Y D14</v>
      </c>
      <c r="D6" s="8" t="s">
        <v>28</v>
      </c>
      <c r="E6" s="8" t="s">
        <v>138</v>
      </c>
      <c r="F6" s="8" t="s">
        <v>140</v>
      </c>
      <c r="G6" s="8" t="s">
        <v>142</v>
      </c>
      <c r="H6" s="8" t="s">
        <v>144</v>
      </c>
      <c r="I6" s="8" t="s">
        <v>145</v>
      </c>
      <c r="J6" s="8" t="s">
        <v>146</v>
      </c>
      <c r="K6" s="5"/>
      <c r="L6" t="s">
        <v>111</v>
      </c>
    </row>
    <row r="7" spans="1:12" x14ac:dyDescent="0.25">
      <c r="A7" s="10" t="s">
        <v>2</v>
      </c>
      <c r="B7" s="2" t="s">
        <v>11</v>
      </c>
      <c r="C7" t="str" cm="1">
        <f t="array" ref="C7">_xll.BDP(D7,"name")</f>
        <v>BRAZIL CDS USD SR 10Y D14</v>
      </c>
      <c r="D7" s="8" t="s">
        <v>29</v>
      </c>
      <c r="E7" s="8" t="s">
        <v>139</v>
      </c>
      <c r="F7" s="8" t="s">
        <v>141</v>
      </c>
      <c r="G7" s="8" t="s">
        <v>143</v>
      </c>
      <c r="H7" s="5"/>
      <c r="I7" s="5"/>
      <c r="J7" s="5"/>
      <c r="K7" s="5"/>
      <c r="L7" t="s">
        <v>111</v>
      </c>
    </row>
    <row r="8" spans="1:12" x14ac:dyDescent="0.25">
      <c r="A8" s="13" t="s">
        <v>3</v>
      </c>
      <c r="B8" s="2" t="s">
        <v>132</v>
      </c>
      <c r="C8" t="str" cm="1">
        <f t="array" ref="C8">_xll.BDP(D8,"security_name")</f>
        <v>Brazil Budget Balance</v>
      </c>
      <c r="D8" s="8" t="s">
        <v>176</v>
      </c>
      <c r="E8" s="8" t="s">
        <v>133</v>
      </c>
      <c r="F8" s="5"/>
      <c r="G8" s="8" t="s">
        <v>134</v>
      </c>
      <c r="H8" s="8" t="s">
        <v>135</v>
      </c>
      <c r="I8" s="8" t="s">
        <v>136</v>
      </c>
      <c r="J8" s="8" t="s">
        <v>137</v>
      </c>
      <c r="K8" s="8" t="s">
        <v>148</v>
      </c>
      <c r="L8" t="s">
        <v>111</v>
      </c>
    </row>
    <row r="9" spans="1:12" x14ac:dyDescent="0.25">
      <c r="A9" s="10" t="s">
        <v>4</v>
      </c>
      <c r="B9" s="2" t="s">
        <v>12</v>
      </c>
      <c r="C9" t="str" cm="1">
        <f t="array" ref="C9">_xll.BDP(D9,"security_name")</f>
        <v>BZ Public Debt Non-Resident %</v>
      </c>
      <c r="D9" s="8" t="s">
        <v>30</v>
      </c>
      <c r="E9" s="5"/>
      <c r="F9" s="5"/>
      <c r="G9" s="5"/>
      <c r="H9" s="5"/>
      <c r="I9" s="8" t="s">
        <v>130</v>
      </c>
      <c r="J9" s="5"/>
      <c r="K9" s="5"/>
      <c r="L9" t="s">
        <v>131</v>
      </c>
    </row>
    <row r="10" spans="1:12" x14ac:dyDescent="0.25">
      <c r="A10" s="1" t="s">
        <v>31</v>
      </c>
      <c r="B10" s="2" t="s">
        <v>217</v>
      </c>
      <c r="C10" t="str" cm="1">
        <f t="array" ref="C10">_xll.BDP(D10,"security_name")</f>
        <v>BZ Current Account</v>
      </c>
      <c r="D10" s="4" t="s">
        <v>32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  <c r="J10" s="4" t="s">
        <v>129</v>
      </c>
      <c r="K10" s="4" t="s">
        <v>149</v>
      </c>
      <c r="L10" t="s">
        <v>111</v>
      </c>
    </row>
    <row r="11" spans="1:12" x14ac:dyDescent="0.25">
      <c r="A11" s="13" t="s">
        <v>216</v>
      </c>
      <c r="B11" s="2" t="s">
        <v>215</v>
      </c>
      <c r="C11" t="str" cm="1">
        <f t="array" ref="C11">_xll.BDP(D11,"security_name")</f>
        <v>BX.KLT.DINV.WD.GD.ZS BRA</v>
      </c>
      <c r="D11" s="6" t="s">
        <v>207</v>
      </c>
      <c r="E11" s="6" t="s">
        <v>208</v>
      </c>
      <c r="F11" s="6" t="s">
        <v>209</v>
      </c>
      <c r="G11" s="6" t="s">
        <v>210</v>
      </c>
      <c r="H11" s="6" t="s">
        <v>211</v>
      </c>
      <c r="I11" s="6" t="s">
        <v>212</v>
      </c>
      <c r="J11" s="6" t="s">
        <v>213</v>
      </c>
      <c r="K11" s="6" t="s">
        <v>214</v>
      </c>
      <c r="L11" t="s">
        <v>111</v>
      </c>
    </row>
    <row r="12" spans="1:12" x14ac:dyDescent="0.25">
      <c r="A12" s="1" t="s">
        <v>34</v>
      </c>
      <c r="B12" s="3" t="s">
        <v>219</v>
      </c>
      <c r="C12" t="str" cm="1">
        <f t="array" ref="C12">_xll.BDP(D12,"security_name")</f>
        <v>BRAZIL INT'L RESInt'l Resr</v>
      </c>
      <c r="D12" s="8" t="s">
        <v>33</v>
      </c>
      <c r="E12" s="8" t="s">
        <v>119</v>
      </c>
      <c r="F12" s="8" t="s">
        <v>120</v>
      </c>
      <c r="G12" s="8" t="s">
        <v>121</v>
      </c>
      <c r="H12" s="8" t="s">
        <v>122</v>
      </c>
      <c r="I12" s="5"/>
      <c r="J12" s="8" t="s">
        <v>123</v>
      </c>
      <c r="K12" s="5"/>
      <c r="L12" t="s">
        <v>111</v>
      </c>
    </row>
    <row r="13" spans="1:12" x14ac:dyDescent="0.25">
      <c r="A13" s="13" t="s">
        <v>5</v>
      </c>
      <c r="B13" s="2" t="s">
        <v>13</v>
      </c>
      <c r="C13" t="str" cm="1">
        <f t="array" ref="C13">_xll.BDP(D13,"security_name")</f>
        <v>Brazil Unemployment</v>
      </c>
      <c r="D13" s="6" t="s">
        <v>113</v>
      </c>
      <c r="E13" s="6" t="s">
        <v>112</v>
      </c>
      <c r="F13" s="6" t="s">
        <v>114</v>
      </c>
      <c r="G13" s="6" t="s">
        <v>115</v>
      </c>
      <c r="H13" s="6" t="s">
        <v>116</v>
      </c>
      <c r="I13" s="6" t="s">
        <v>117</v>
      </c>
      <c r="J13" s="6" t="s">
        <v>118</v>
      </c>
      <c r="K13" s="6" t="s">
        <v>150</v>
      </c>
      <c r="L13" t="s">
        <v>111</v>
      </c>
    </row>
    <row r="14" spans="1:12" x14ac:dyDescent="0.25">
      <c r="A14" s="1" t="s">
        <v>6</v>
      </c>
      <c r="B14" s="2" t="s">
        <v>14</v>
      </c>
      <c r="C14" t="str" cm="1">
        <f t="array" ref="C14">_xll.BDP(D14,"security_name")</f>
        <v>Brazil Inflation Target</v>
      </c>
      <c r="D14" s="4" t="s">
        <v>27</v>
      </c>
      <c r="E14" s="4" t="s">
        <v>158</v>
      </c>
      <c r="F14" s="4" t="s">
        <v>159</v>
      </c>
      <c r="G14" s="4" t="s">
        <v>160</v>
      </c>
      <c r="H14" s="5"/>
      <c r="I14" s="5"/>
      <c r="J14" s="5"/>
      <c r="K14" s="5"/>
      <c r="L14" t="s">
        <v>111</v>
      </c>
    </row>
    <row r="15" spans="1:12" x14ac:dyDescent="0.25">
      <c r="A15" s="13" t="s">
        <v>193</v>
      </c>
      <c r="B15" s="2" t="s">
        <v>194</v>
      </c>
      <c r="C15" t="str" cm="1">
        <f t="array" ref="C15">_xll.BDP(D15,"security_name")</f>
        <v>PRExDI SWAP AVG 90d</v>
      </c>
      <c r="D15" s="6" t="s">
        <v>195</v>
      </c>
      <c r="E15" s="6" t="s">
        <v>196</v>
      </c>
      <c r="F15" s="6" t="s">
        <v>197</v>
      </c>
      <c r="G15" s="6" t="s">
        <v>83</v>
      </c>
      <c r="H15" s="6" t="s">
        <v>198</v>
      </c>
      <c r="I15" s="6" t="s">
        <v>199</v>
      </c>
      <c r="J15" s="6" t="s">
        <v>200</v>
      </c>
      <c r="K15" s="6" t="s">
        <v>201</v>
      </c>
    </row>
    <row r="16" spans="1:12" x14ac:dyDescent="0.25">
      <c r="A16" s="13" t="s">
        <v>21</v>
      </c>
      <c r="B16" s="2" t="s">
        <v>26</v>
      </c>
      <c r="C16" t="str" cm="1">
        <f t="array" ref="C16">_xll.BDP(D16,"security_name")</f>
        <v>PRExDI SWAP AVG 180d</v>
      </c>
      <c r="D16" s="6" t="s">
        <v>22</v>
      </c>
      <c r="E16" s="6" t="s">
        <v>75</v>
      </c>
      <c r="F16" s="6" t="s">
        <v>79</v>
      </c>
      <c r="G16" s="6" t="s">
        <v>202</v>
      </c>
      <c r="H16" s="6" t="s">
        <v>87</v>
      </c>
      <c r="I16" s="6" t="s">
        <v>91</v>
      </c>
      <c r="J16" s="7" t="s">
        <v>98</v>
      </c>
      <c r="K16" s="6" t="s">
        <v>151</v>
      </c>
      <c r="L16" t="s">
        <v>111</v>
      </c>
    </row>
    <row r="17" spans="1:12" x14ac:dyDescent="0.25">
      <c r="A17" s="13" t="s">
        <v>23</v>
      </c>
      <c r="B17" s="2" t="s">
        <v>15</v>
      </c>
      <c r="C17" t="str" cm="1">
        <f t="array" ref="C17">_xll.BDP(D17,"security_name")</f>
        <v>PRExDI SWAP AVG 360d</v>
      </c>
      <c r="D17" s="6" t="s">
        <v>20</v>
      </c>
      <c r="E17" s="6" t="s">
        <v>76</v>
      </c>
      <c r="F17" s="6" t="s">
        <v>80</v>
      </c>
      <c r="G17" s="6" t="s">
        <v>84</v>
      </c>
      <c r="H17" s="6" t="s">
        <v>88</v>
      </c>
      <c r="I17" s="6" t="s">
        <v>92</v>
      </c>
      <c r="J17" s="7" t="s">
        <v>95</v>
      </c>
      <c r="K17" s="6" t="s">
        <v>152</v>
      </c>
      <c r="L17" t="s">
        <v>111</v>
      </c>
    </row>
    <row r="18" spans="1:12" x14ac:dyDescent="0.25">
      <c r="A18" s="13" t="s">
        <v>24</v>
      </c>
      <c r="B18" s="2" t="s">
        <v>7</v>
      </c>
      <c r="C18" t="str" cm="1">
        <f t="array" ref="C18">_xll.BDP(D18,"security_name")</f>
        <v>PRExDI SWAP AVG 720d</v>
      </c>
      <c r="D18" s="6" t="s">
        <v>19</v>
      </c>
      <c r="E18" s="6" t="s">
        <v>77</v>
      </c>
      <c r="F18" s="6" t="s">
        <v>81</v>
      </c>
      <c r="G18" s="6" t="s">
        <v>85</v>
      </c>
      <c r="H18" s="6" t="s">
        <v>89</v>
      </c>
      <c r="I18" s="6" t="s">
        <v>93</v>
      </c>
      <c r="J18" s="7" t="s">
        <v>96</v>
      </c>
      <c r="K18" s="6" t="s">
        <v>153</v>
      </c>
      <c r="L18" t="s">
        <v>111</v>
      </c>
    </row>
    <row r="19" spans="1:12" x14ac:dyDescent="0.25">
      <c r="A19" s="13" t="s">
        <v>25</v>
      </c>
      <c r="B19" s="2" t="s">
        <v>8</v>
      </c>
      <c r="C19" t="str" cm="1">
        <f t="array" ref="C19">_xll.BDP(D19,"security_name")</f>
        <v>PRExDI SWAP AVG 1800d</v>
      </c>
      <c r="D19" s="6" t="s">
        <v>18</v>
      </c>
      <c r="E19" s="6" t="s">
        <v>78</v>
      </c>
      <c r="F19" s="6" t="s">
        <v>82</v>
      </c>
      <c r="G19" s="6" t="s">
        <v>86</v>
      </c>
      <c r="H19" s="6" t="s">
        <v>90</v>
      </c>
      <c r="I19" s="6" t="s">
        <v>94</v>
      </c>
      <c r="J19" s="7" t="s">
        <v>97</v>
      </c>
      <c r="K19" s="6" t="s">
        <v>154</v>
      </c>
      <c r="L19" t="s">
        <v>111</v>
      </c>
    </row>
    <row r="20" spans="1:12" x14ac:dyDescent="0.25">
      <c r="A20" s="13" t="s">
        <v>206</v>
      </c>
      <c r="B20" s="11" t="s">
        <v>35</v>
      </c>
      <c r="C20" s="8" t="str" cm="1">
        <f t="array" ref="C20">_xll.BDP(D20,"security_name")</f>
        <v>Gen Govt Net Debt % of GDP BR</v>
      </c>
      <c r="D20" s="8" t="s">
        <v>108</v>
      </c>
      <c r="E20" s="8" t="s">
        <v>99</v>
      </c>
      <c r="F20" s="8" t="s">
        <v>102</v>
      </c>
      <c r="G20" s="8" t="s">
        <v>103</v>
      </c>
      <c r="H20" s="8" t="s">
        <v>190</v>
      </c>
      <c r="I20" s="5"/>
      <c r="J20" s="8" t="s">
        <v>105</v>
      </c>
      <c r="K20" s="8" t="s">
        <v>155</v>
      </c>
      <c r="L20" t="s">
        <v>111</v>
      </c>
    </row>
    <row r="21" spans="1:12" x14ac:dyDescent="0.25">
      <c r="A21" s="13" t="s">
        <v>205</v>
      </c>
      <c r="B21" s="2" t="s">
        <v>36</v>
      </c>
      <c r="C21" t="str" cm="1">
        <f t="array" ref="C21">_xll.BDP(D21,"security_name")</f>
        <v>Gen Govt Grs Debt % of GDP BR</v>
      </c>
      <c r="D21" s="6" t="s">
        <v>109</v>
      </c>
      <c r="E21" s="6" t="s">
        <v>100</v>
      </c>
      <c r="F21" s="6" t="s">
        <v>101</v>
      </c>
      <c r="G21" s="6" t="s">
        <v>107</v>
      </c>
      <c r="H21" s="6" t="s">
        <v>191</v>
      </c>
      <c r="I21" s="6" t="s">
        <v>104</v>
      </c>
      <c r="J21" s="6" t="s">
        <v>106</v>
      </c>
      <c r="K21" s="6" t="s">
        <v>156</v>
      </c>
      <c r="L21" t="s">
        <v>111</v>
      </c>
    </row>
    <row r="22" spans="1:12" x14ac:dyDescent="0.25">
      <c r="A22" s="1" t="s">
        <v>37</v>
      </c>
      <c r="B22" s="2" t="s">
        <v>218</v>
      </c>
      <c r="C22" t="str" cm="1">
        <f t="array" ref="C22">_xll.BDP(D22,"security_name")</f>
        <v>US DOLLAR/BRAZIL REAL</v>
      </c>
      <c r="D22" t="s">
        <v>38</v>
      </c>
      <c r="E22" t="s">
        <v>55</v>
      </c>
      <c r="F22" t="s">
        <v>56</v>
      </c>
      <c r="G22" t="s">
        <v>57</v>
      </c>
      <c r="H22" t="s">
        <v>58</v>
      </c>
      <c r="I22" t="s">
        <v>59</v>
      </c>
      <c r="J22" t="s">
        <v>65</v>
      </c>
      <c r="K22" s="5"/>
      <c r="L22" t="s">
        <v>111</v>
      </c>
    </row>
    <row r="23" spans="1:12" x14ac:dyDescent="0.25">
      <c r="A23" s="13" t="s">
        <v>41</v>
      </c>
      <c r="B23" s="2" t="s">
        <v>39</v>
      </c>
      <c r="C23" t="str" cm="1">
        <f t="array" ref="C23">_xll.BDP(D23,"security_name")</f>
        <v>Brazil Current Acct. Bal.</v>
      </c>
      <c r="D23" s="6" t="s">
        <v>40</v>
      </c>
      <c r="E23" s="6" t="s">
        <v>60</v>
      </c>
      <c r="F23" s="6" t="s">
        <v>61</v>
      </c>
      <c r="G23" s="6" t="s">
        <v>62</v>
      </c>
      <c r="H23" s="6" t="s">
        <v>63</v>
      </c>
      <c r="I23" s="6" t="s">
        <v>64</v>
      </c>
      <c r="J23" s="6" t="s">
        <v>66</v>
      </c>
      <c r="K23" s="6" t="s">
        <v>157</v>
      </c>
      <c r="L23" t="s">
        <v>111</v>
      </c>
    </row>
    <row r="24" spans="1:12" x14ac:dyDescent="0.25">
      <c r="A24" s="1" t="s">
        <v>42</v>
      </c>
      <c r="B24" s="2" t="s">
        <v>220</v>
      </c>
      <c r="C24" t="str" cm="1">
        <f t="array" ref="C24">_xll.BDP(D24,"security_name")</f>
        <v>BR Trade Balance NSA</v>
      </c>
      <c r="D24" s="8" t="s">
        <v>68</v>
      </c>
      <c r="E24" s="8" t="s">
        <v>69</v>
      </c>
      <c r="F24" s="8" t="s">
        <v>72</v>
      </c>
      <c r="G24" s="8" t="s">
        <v>71</v>
      </c>
      <c r="H24" s="8" t="s">
        <v>73</v>
      </c>
      <c r="I24" s="8" t="s">
        <v>179</v>
      </c>
      <c r="J24" s="8" t="s">
        <v>74</v>
      </c>
      <c r="K24" s="5"/>
      <c r="L24" s="8" t="s">
        <v>111</v>
      </c>
    </row>
    <row r="25" spans="1:12" x14ac:dyDescent="0.25">
      <c r="A25" s="1" t="s">
        <v>45</v>
      </c>
      <c r="B25" s="2" t="s">
        <v>44</v>
      </c>
      <c r="C25" t="str" cm="1">
        <f t="array" ref="C25">_xll.BDP(D25,"security_name")</f>
        <v>Brazil CNI IndexCAPCTY NSA</v>
      </c>
      <c r="D25" t="s">
        <v>43</v>
      </c>
      <c r="E25" s="4" t="s">
        <v>110</v>
      </c>
      <c r="F25" s="5"/>
      <c r="G25" s="5"/>
      <c r="H25" s="5"/>
      <c r="I25" s="5"/>
      <c r="J25" s="5"/>
      <c r="K25" s="5"/>
      <c r="L25" t="s">
        <v>111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BB44D-BB6C-4CCB-8388-4F5CC3F3E113}">
  <dimension ref="A1:L25"/>
  <sheetViews>
    <sheetView zoomScale="85" zoomScaleNormal="85" workbookViewId="0">
      <pane xSplit="2" ySplit="1" topLeftCell="G2" activePane="bottomRight" state="frozen"/>
      <selection pane="topRight" activeCell="C1" sqref="C1"/>
      <selection pane="bottomLeft" activeCell="A2" sqref="A2"/>
      <selection pane="bottomRight" activeCell="A2" sqref="A2"/>
    </sheetView>
  </sheetViews>
  <sheetFormatPr defaultRowHeight="15" x14ac:dyDescent="0.25"/>
  <cols>
    <col min="1" max="1" width="13" customWidth="1"/>
    <col min="2" max="2" width="61.28515625" customWidth="1"/>
    <col min="3" max="3" width="28.5703125" bestFit="1" customWidth="1"/>
    <col min="4" max="4" width="29" bestFit="1" customWidth="1"/>
    <col min="5" max="5" width="15" bestFit="1" customWidth="1"/>
    <col min="6" max="6" width="14.42578125" bestFit="1" customWidth="1"/>
    <col min="7" max="7" width="13.85546875" bestFit="1" customWidth="1"/>
    <col min="8" max="8" width="14.140625" bestFit="1" customWidth="1"/>
    <col min="9" max="9" width="14.28515625" bestFit="1" customWidth="1"/>
    <col min="10" max="10" width="15.85546875" bestFit="1" customWidth="1"/>
    <col min="11" max="11" width="14" customWidth="1"/>
  </cols>
  <sheetData>
    <row r="1" spans="1:12" x14ac:dyDescent="0.25">
      <c r="A1" t="s">
        <v>48</v>
      </c>
      <c r="B1" t="s">
        <v>47</v>
      </c>
      <c r="C1" t="s">
        <v>67</v>
      </c>
      <c r="D1" t="s">
        <v>46</v>
      </c>
      <c r="E1" t="s">
        <v>49</v>
      </c>
      <c r="F1" t="s">
        <v>50</v>
      </c>
      <c r="G1" t="s">
        <v>51</v>
      </c>
      <c r="H1" t="s">
        <v>52</v>
      </c>
      <c r="I1" t="s">
        <v>53</v>
      </c>
      <c r="J1" t="s">
        <v>54</v>
      </c>
      <c r="K1" t="s">
        <v>147</v>
      </c>
      <c r="L1" t="s">
        <v>70</v>
      </c>
    </row>
    <row r="2" spans="1:12" x14ac:dyDescent="0.25">
      <c r="A2" s="13" t="s">
        <v>189</v>
      </c>
      <c r="B2" s="2" t="s">
        <v>187</v>
      </c>
      <c r="C2" t="str" cm="1">
        <f t="array" ref="C2">_xll.BDP(D2,"security_name")</f>
        <v>Selic Avg Annual Rate Survey</v>
      </c>
      <c r="D2" s="8" t="s">
        <v>16</v>
      </c>
      <c r="E2" s="8" t="s">
        <v>167</v>
      </c>
      <c r="F2" s="8" t="s">
        <v>203</v>
      </c>
      <c r="G2" s="8" t="s">
        <v>180</v>
      </c>
      <c r="H2" s="8" t="s">
        <v>192</v>
      </c>
      <c r="I2" s="8" t="s">
        <v>168</v>
      </c>
      <c r="J2" s="8" t="s">
        <v>181</v>
      </c>
      <c r="K2" s="8" t="s">
        <v>204</v>
      </c>
      <c r="L2" t="s">
        <v>111</v>
      </c>
    </row>
    <row r="3" spans="1:12" x14ac:dyDescent="0.25">
      <c r="A3" s="13" t="s">
        <v>0</v>
      </c>
      <c r="B3" s="2" t="s">
        <v>188</v>
      </c>
      <c r="C3" t="str" cm="1">
        <f t="array" ref="C3">_xll.BDP(D3,"security_name")</f>
        <v>Selic Monthly Survey</v>
      </c>
      <c r="D3" s="8" t="s">
        <v>17</v>
      </c>
      <c r="E3" s="8" t="s">
        <v>182</v>
      </c>
      <c r="F3" s="5"/>
      <c r="G3" t="s">
        <v>183</v>
      </c>
      <c r="H3" s="5"/>
      <c r="I3" s="5"/>
      <c r="J3" s="12"/>
      <c r="K3" s="9"/>
      <c r="L3" t="s">
        <v>111</v>
      </c>
    </row>
    <row r="4" spans="1:12" x14ac:dyDescent="0.25">
      <c r="A4" s="13" t="s">
        <v>184</v>
      </c>
      <c r="B4" s="2" t="s">
        <v>9</v>
      </c>
      <c r="C4" t="str" cm="1">
        <f t="array" ref="C4">_xll.BDP(D4,"security_name")</f>
        <v>Brazil CPI Forecast</v>
      </c>
      <c r="D4" s="6" t="s">
        <v>178</v>
      </c>
      <c r="E4" s="6" t="s">
        <v>171</v>
      </c>
      <c r="F4" s="6" t="s">
        <v>170</v>
      </c>
      <c r="G4" s="6" t="s">
        <v>162</v>
      </c>
      <c r="H4" s="6" t="s">
        <v>163</v>
      </c>
      <c r="I4" s="6" t="s">
        <v>173</v>
      </c>
      <c r="J4" s="6" t="s">
        <v>174</v>
      </c>
      <c r="K4" s="6" t="s">
        <v>175</v>
      </c>
      <c r="L4" t="s">
        <v>111</v>
      </c>
    </row>
    <row r="5" spans="1:12" x14ac:dyDescent="0.25">
      <c r="A5" s="13" t="s">
        <v>185</v>
      </c>
      <c r="B5" s="2" t="s">
        <v>186</v>
      </c>
      <c r="C5" t="str" cm="1">
        <f t="array" ref="C5">_xll.BDP(D5,"security_name")</f>
        <v>Brazil CPI</v>
      </c>
      <c r="D5" s="6" t="s">
        <v>177</v>
      </c>
      <c r="E5" s="6" t="s">
        <v>169</v>
      </c>
      <c r="F5" s="6" t="s">
        <v>161</v>
      </c>
      <c r="G5" s="6" t="s">
        <v>161</v>
      </c>
      <c r="H5" s="6" t="s">
        <v>172</v>
      </c>
      <c r="I5" s="6" t="s">
        <v>164</v>
      </c>
      <c r="J5" s="6" t="s">
        <v>165</v>
      </c>
      <c r="K5" s="6" t="s">
        <v>166</v>
      </c>
      <c r="L5" t="s">
        <v>111</v>
      </c>
    </row>
    <row r="6" spans="1:12" x14ac:dyDescent="0.25">
      <c r="A6" s="10" t="s">
        <v>1</v>
      </c>
      <c r="B6" s="2" t="s">
        <v>10</v>
      </c>
      <c r="C6" t="str" cm="1">
        <f t="array" ref="C6">_xll.BDP(D6,"name")</f>
        <v>BRAZIL CDS USD SR 5Y D14</v>
      </c>
      <c r="D6" s="8" t="s">
        <v>28</v>
      </c>
      <c r="E6" s="8" t="s">
        <v>138</v>
      </c>
      <c r="F6" s="8" t="s">
        <v>140</v>
      </c>
      <c r="G6" s="8" t="s">
        <v>142</v>
      </c>
      <c r="H6" s="8" t="s">
        <v>144</v>
      </c>
      <c r="I6" s="8" t="s">
        <v>145</v>
      </c>
      <c r="J6" s="8" t="s">
        <v>146</v>
      </c>
      <c r="K6" s="5"/>
      <c r="L6" t="s">
        <v>111</v>
      </c>
    </row>
    <row r="7" spans="1:12" x14ac:dyDescent="0.25">
      <c r="A7" s="10" t="s">
        <v>2</v>
      </c>
      <c r="B7" s="2" t="s">
        <v>11</v>
      </c>
      <c r="C7" t="str" cm="1">
        <f t="array" ref="C7">_xll.BDP(D7,"name")</f>
        <v>BRAZIL CDS USD SR 10Y D14</v>
      </c>
      <c r="D7" s="8" t="s">
        <v>29</v>
      </c>
      <c r="E7" s="8" t="s">
        <v>139</v>
      </c>
      <c r="F7" s="8" t="s">
        <v>141</v>
      </c>
      <c r="G7" s="8" t="s">
        <v>143</v>
      </c>
      <c r="H7" s="5"/>
      <c r="I7" s="5"/>
      <c r="J7" s="5"/>
      <c r="K7" s="5"/>
      <c r="L7" t="s">
        <v>111</v>
      </c>
    </row>
    <row r="8" spans="1:12" x14ac:dyDescent="0.25">
      <c r="A8" s="13" t="s">
        <v>3</v>
      </c>
      <c r="B8" s="2" t="s">
        <v>132</v>
      </c>
      <c r="C8" t="str" cm="1">
        <f t="array" ref="C8">_xll.BDP(D8,"security_name")</f>
        <v>Brazil Budget Balance</v>
      </c>
      <c r="D8" s="8" t="s">
        <v>176</v>
      </c>
      <c r="E8" s="8" t="s">
        <v>133</v>
      </c>
      <c r="F8" s="5"/>
      <c r="G8" s="8" t="s">
        <v>134</v>
      </c>
      <c r="H8" s="8" t="s">
        <v>135</v>
      </c>
      <c r="I8" s="8" t="s">
        <v>136</v>
      </c>
      <c r="J8" s="8" t="s">
        <v>137</v>
      </c>
      <c r="K8" s="8" t="s">
        <v>148</v>
      </c>
      <c r="L8" t="s">
        <v>111</v>
      </c>
    </row>
    <row r="9" spans="1:12" x14ac:dyDescent="0.25">
      <c r="A9" s="10" t="s">
        <v>4</v>
      </c>
      <c r="B9" s="2" t="s">
        <v>12</v>
      </c>
      <c r="C9" t="str" cm="1">
        <f t="array" ref="C9">_xll.BDP(D9,"security_name")</f>
        <v>BZ Public Debt Non-Resident %</v>
      </c>
      <c r="D9" s="8" t="s">
        <v>30</v>
      </c>
      <c r="E9" s="5"/>
      <c r="F9" s="5"/>
      <c r="G9" s="5"/>
      <c r="H9" s="5"/>
      <c r="I9" s="8" t="s">
        <v>130</v>
      </c>
      <c r="J9" s="5"/>
      <c r="K9" s="5"/>
      <c r="L9" t="s">
        <v>131</v>
      </c>
    </row>
    <row r="10" spans="1:12" x14ac:dyDescent="0.25">
      <c r="A10" s="1" t="s">
        <v>31</v>
      </c>
      <c r="B10" s="2" t="s">
        <v>217</v>
      </c>
      <c r="C10" t="str" cm="1">
        <f t="array" ref="C10">_xll.BDP(D10,"security_name")</f>
        <v>BZ Current Account</v>
      </c>
      <c r="D10" s="4" t="s">
        <v>32</v>
      </c>
      <c r="E10" s="4" t="s">
        <v>124</v>
      </c>
      <c r="F10" s="4" t="s">
        <v>125</v>
      </c>
      <c r="G10" s="4" t="s">
        <v>126</v>
      </c>
      <c r="H10" s="4" t="s">
        <v>127</v>
      </c>
      <c r="I10" s="4" t="s">
        <v>128</v>
      </c>
      <c r="J10" s="4" t="s">
        <v>129</v>
      </c>
      <c r="K10" s="4" t="s">
        <v>149</v>
      </c>
      <c r="L10" t="s">
        <v>111</v>
      </c>
    </row>
    <row r="11" spans="1:12" x14ac:dyDescent="0.25">
      <c r="A11" s="13" t="s">
        <v>216</v>
      </c>
      <c r="B11" s="2" t="s">
        <v>215</v>
      </c>
      <c r="C11" t="str" cm="1">
        <f t="array" ref="C11">_xll.BDP(D11,"security_name")</f>
        <v>BX.KLT.DINV.WD.GD.ZS BRA</v>
      </c>
      <c r="D11" s="6" t="s">
        <v>207</v>
      </c>
      <c r="E11" s="6" t="s">
        <v>208</v>
      </c>
      <c r="F11" s="6" t="s">
        <v>209</v>
      </c>
      <c r="G11" s="6" t="s">
        <v>210</v>
      </c>
      <c r="H11" s="6" t="s">
        <v>211</v>
      </c>
      <c r="I11" s="6" t="s">
        <v>212</v>
      </c>
      <c r="J11" s="6" t="s">
        <v>213</v>
      </c>
      <c r="K11" s="6" t="s">
        <v>214</v>
      </c>
      <c r="L11" t="s">
        <v>111</v>
      </c>
    </row>
    <row r="12" spans="1:12" x14ac:dyDescent="0.25">
      <c r="A12" s="1" t="s">
        <v>34</v>
      </c>
      <c r="B12" s="3" t="s">
        <v>219</v>
      </c>
      <c r="C12" t="str" cm="1">
        <f t="array" ref="C12">_xll.BDP(D12,"security_name")</f>
        <v>BRAZIL INT'L RESInt'l Resr</v>
      </c>
      <c r="D12" s="8" t="s">
        <v>33</v>
      </c>
      <c r="E12" s="8" t="s">
        <v>119</v>
      </c>
      <c r="F12" s="8" t="s">
        <v>120</v>
      </c>
      <c r="G12" s="8" t="s">
        <v>121</v>
      </c>
      <c r="H12" s="8" t="s">
        <v>122</v>
      </c>
      <c r="I12" s="5"/>
      <c r="J12" s="8" t="s">
        <v>123</v>
      </c>
      <c r="K12" s="5"/>
      <c r="L12" t="s">
        <v>111</v>
      </c>
    </row>
    <row r="13" spans="1:12" x14ac:dyDescent="0.25">
      <c r="A13" s="13" t="s">
        <v>5</v>
      </c>
      <c r="B13" s="2" t="s">
        <v>13</v>
      </c>
      <c r="C13" t="str" cm="1">
        <f t="array" ref="C13">_xll.BDP(D13,"security_name")</f>
        <v>Brazil Unemployment</v>
      </c>
      <c r="D13" s="6" t="s">
        <v>113</v>
      </c>
      <c r="E13" s="6" t="s">
        <v>112</v>
      </c>
      <c r="F13" s="6" t="s">
        <v>114</v>
      </c>
      <c r="G13" s="6" t="s">
        <v>115</v>
      </c>
      <c r="H13" s="6" t="s">
        <v>116</v>
      </c>
      <c r="I13" s="6" t="s">
        <v>117</v>
      </c>
      <c r="J13" s="6" t="s">
        <v>118</v>
      </c>
      <c r="K13" s="6" t="s">
        <v>150</v>
      </c>
      <c r="L13" t="s">
        <v>111</v>
      </c>
    </row>
    <row r="14" spans="1:12" x14ac:dyDescent="0.25">
      <c r="A14" s="1" t="s">
        <v>6</v>
      </c>
      <c r="B14" s="2" t="s">
        <v>14</v>
      </c>
      <c r="C14" t="str" cm="1">
        <f t="array" ref="C14">_xll.BDP(D14,"security_name")</f>
        <v>Brazil Inflation Target</v>
      </c>
      <c r="D14" s="4" t="s">
        <v>27</v>
      </c>
      <c r="E14" s="4" t="s">
        <v>158</v>
      </c>
      <c r="F14" s="4" t="s">
        <v>159</v>
      </c>
      <c r="G14" s="4" t="s">
        <v>160</v>
      </c>
      <c r="H14" s="5"/>
      <c r="I14" s="5"/>
      <c r="J14" s="5"/>
      <c r="K14" s="5"/>
      <c r="L14" t="s">
        <v>111</v>
      </c>
    </row>
    <row r="15" spans="1:12" x14ac:dyDescent="0.25">
      <c r="A15" s="13" t="s">
        <v>193</v>
      </c>
      <c r="B15" s="2" t="s">
        <v>194</v>
      </c>
      <c r="C15" t="str" cm="1">
        <f t="array" ref="C15">_xll.BDP(D15,"security_name")</f>
        <v>PRExDI SWAP AVG 90d</v>
      </c>
      <c r="D15" s="6" t="s">
        <v>195</v>
      </c>
      <c r="E15" s="6" t="s">
        <v>196</v>
      </c>
      <c r="F15" s="6" t="s">
        <v>197</v>
      </c>
      <c r="G15" s="6" t="s">
        <v>83</v>
      </c>
      <c r="H15" s="6" t="s">
        <v>198</v>
      </c>
      <c r="I15" s="6" t="s">
        <v>199</v>
      </c>
      <c r="J15" s="6" t="s">
        <v>200</v>
      </c>
      <c r="K15" s="6" t="s">
        <v>201</v>
      </c>
    </row>
    <row r="16" spans="1:12" x14ac:dyDescent="0.25">
      <c r="A16" s="13" t="s">
        <v>21</v>
      </c>
      <c r="B16" s="2" t="s">
        <v>26</v>
      </c>
      <c r="C16" t="str" cm="1">
        <f t="array" ref="C16">_xll.BDP(D16,"security_name")</f>
        <v>PRExDI SWAP AVG 180d</v>
      </c>
      <c r="D16" s="6" t="s">
        <v>22</v>
      </c>
      <c r="E16" s="6" t="s">
        <v>75</v>
      </c>
      <c r="F16" s="6" t="s">
        <v>79</v>
      </c>
      <c r="G16" s="6" t="s">
        <v>202</v>
      </c>
      <c r="H16" s="6" t="s">
        <v>87</v>
      </c>
      <c r="I16" s="6" t="s">
        <v>91</v>
      </c>
      <c r="J16" s="7" t="s">
        <v>98</v>
      </c>
      <c r="K16" s="6" t="s">
        <v>151</v>
      </c>
      <c r="L16" t="s">
        <v>111</v>
      </c>
    </row>
    <row r="17" spans="1:12" x14ac:dyDescent="0.25">
      <c r="A17" s="13" t="s">
        <v>23</v>
      </c>
      <c r="B17" s="2" t="s">
        <v>15</v>
      </c>
      <c r="C17" t="str" cm="1">
        <f t="array" ref="C17">_xll.BDP(D17,"security_name")</f>
        <v>PRExDI SWAP AVG 360d</v>
      </c>
      <c r="D17" s="6" t="s">
        <v>20</v>
      </c>
      <c r="E17" s="6" t="s">
        <v>76</v>
      </c>
      <c r="F17" s="6" t="s">
        <v>80</v>
      </c>
      <c r="G17" s="6" t="s">
        <v>84</v>
      </c>
      <c r="H17" s="6" t="s">
        <v>88</v>
      </c>
      <c r="I17" s="6" t="s">
        <v>92</v>
      </c>
      <c r="J17" s="7" t="s">
        <v>95</v>
      </c>
      <c r="K17" s="6" t="s">
        <v>152</v>
      </c>
      <c r="L17" t="s">
        <v>111</v>
      </c>
    </row>
    <row r="18" spans="1:12" x14ac:dyDescent="0.25">
      <c r="A18" s="13" t="s">
        <v>24</v>
      </c>
      <c r="B18" s="2" t="s">
        <v>7</v>
      </c>
      <c r="C18" t="str" cm="1">
        <f t="array" ref="C18">_xll.BDP(D18,"security_name")</f>
        <v>PRExDI SWAP AVG 720d</v>
      </c>
      <c r="D18" s="6" t="s">
        <v>19</v>
      </c>
      <c r="E18" s="6" t="s">
        <v>77</v>
      </c>
      <c r="F18" s="6" t="s">
        <v>81</v>
      </c>
      <c r="G18" s="6" t="s">
        <v>85</v>
      </c>
      <c r="H18" s="6" t="s">
        <v>89</v>
      </c>
      <c r="I18" s="6" t="s">
        <v>93</v>
      </c>
      <c r="J18" s="7" t="s">
        <v>96</v>
      </c>
      <c r="K18" s="6" t="s">
        <v>153</v>
      </c>
      <c r="L18" t="s">
        <v>111</v>
      </c>
    </row>
    <row r="19" spans="1:12" x14ac:dyDescent="0.25">
      <c r="A19" s="13" t="s">
        <v>25</v>
      </c>
      <c r="B19" s="2" t="s">
        <v>8</v>
      </c>
      <c r="C19" t="str" cm="1">
        <f t="array" ref="C19">_xll.BDP(D19,"security_name")</f>
        <v>PRExDI SWAP AVG 1800d</v>
      </c>
      <c r="D19" s="6" t="s">
        <v>18</v>
      </c>
      <c r="E19" s="6" t="s">
        <v>78</v>
      </c>
      <c r="F19" s="6" t="s">
        <v>82</v>
      </c>
      <c r="G19" s="6" t="s">
        <v>86</v>
      </c>
      <c r="H19" s="6" t="s">
        <v>90</v>
      </c>
      <c r="I19" s="6" t="s">
        <v>94</v>
      </c>
      <c r="J19" s="7" t="s">
        <v>97</v>
      </c>
      <c r="K19" s="6" t="s">
        <v>154</v>
      </c>
      <c r="L19" t="s">
        <v>111</v>
      </c>
    </row>
    <row r="20" spans="1:12" x14ac:dyDescent="0.25">
      <c r="A20" s="13" t="s">
        <v>206</v>
      </c>
      <c r="B20" s="11" t="s">
        <v>35</v>
      </c>
      <c r="C20" s="8" t="str" cm="1">
        <f t="array" ref="C20">_xll.BDP(D20,"security_name")</f>
        <v>Gen Govt Net Debt % of GDP BR</v>
      </c>
      <c r="D20" s="8" t="s">
        <v>108</v>
      </c>
      <c r="E20" s="8" t="s">
        <v>99</v>
      </c>
      <c r="F20" s="8" t="s">
        <v>102</v>
      </c>
      <c r="G20" s="8" t="s">
        <v>103</v>
      </c>
      <c r="H20" s="8" t="s">
        <v>190</v>
      </c>
      <c r="I20" s="5"/>
      <c r="J20" s="8" t="s">
        <v>105</v>
      </c>
      <c r="K20" s="8" t="s">
        <v>155</v>
      </c>
      <c r="L20" t="s">
        <v>111</v>
      </c>
    </row>
    <row r="21" spans="1:12" x14ac:dyDescent="0.25">
      <c r="A21" s="13" t="s">
        <v>205</v>
      </c>
      <c r="B21" s="2" t="s">
        <v>36</v>
      </c>
      <c r="C21" t="str" cm="1">
        <f t="array" ref="C21">_xll.BDP(D21,"security_name")</f>
        <v>Gen Govt Grs Debt % of GDP BR</v>
      </c>
      <c r="D21" s="6" t="s">
        <v>109</v>
      </c>
      <c r="E21" s="6" t="s">
        <v>100</v>
      </c>
      <c r="F21" s="6" t="s">
        <v>101</v>
      </c>
      <c r="G21" s="6" t="s">
        <v>107</v>
      </c>
      <c r="H21" s="6" t="s">
        <v>191</v>
      </c>
      <c r="I21" s="6" t="s">
        <v>104</v>
      </c>
      <c r="J21" s="6" t="s">
        <v>106</v>
      </c>
      <c r="K21" s="6" t="s">
        <v>156</v>
      </c>
      <c r="L21" t="s">
        <v>111</v>
      </c>
    </row>
    <row r="22" spans="1:12" x14ac:dyDescent="0.25">
      <c r="A22" s="1" t="s">
        <v>37</v>
      </c>
      <c r="B22" s="2" t="s">
        <v>218</v>
      </c>
      <c r="C22" t="str" cm="1">
        <f t="array" ref="C22">_xll.BDP(D22,"security_name")</f>
        <v>US DOLLAR/BRAZIL REAL</v>
      </c>
      <c r="D22" t="s">
        <v>38</v>
      </c>
      <c r="E22" t="s">
        <v>55</v>
      </c>
      <c r="F22" t="s">
        <v>56</v>
      </c>
      <c r="G22" t="s">
        <v>57</v>
      </c>
      <c r="H22" t="s">
        <v>58</v>
      </c>
      <c r="I22" t="s">
        <v>59</v>
      </c>
      <c r="J22" t="s">
        <v>65</v>
      </c>
      <c r="K22" s="5"/>
      <c r="L22" t="s">
        <v>111</v>
      </c>
    </row>
    <row r="23" spans="1:12" x14ac:dyDescent="0.25">
      <c r="A23" s="13" t="s">
        <v>41</v>
      </c>
      <c r="B23" s="2" t="s">
        <v>39</v>
      </c>
      <c r="C23" t="str" cm="1">
        <f t="array" ref="C23">_xll.BDP(D23,"security_name")</f>
        <v>Brazil Current Acct. Bal.</v>
      </c>
      <c r="D23" s="6" t="s">
        <v>40</v>
      </c>
      <c r="E23" s="6" t="s">
        <v>60</v>
      </c>
      <c r="F23" s="6" t="s">
        <v>61</v>
      </c>
      <c r="G23" s="6" t="s">
        <v>62</v>
      </c>
      <c r="H23" s="6" t="s">
        <v>63</v>
      </c>
      <c r="I23" s="6" t="s">
        <v>64</v>
      </c>
      <c r="J23" s="6" t="s">
        <v>66</v>
      </c>
      <c r="K23" s="6" t="s">
        <v>157</v>
      </c>
      <c r="L23" t="s">
        <v>111</v>
      </c>
    </row>
    <row r="24" spans="1:12" x14ac:dyDescent="0.25">
      <c r="A24" s="1" t="s">
        <v>42</v>
      </c>
      <c r="B24" s="2" t="s">
        <v>220</v>
      </c>
      <c r="C24" t="str" cm="1">
        <f t="array" ref="C24">_xll.BDP(D24,"security_name")</f>
        <v>BR Trade Balance NSA</v>
      </c>
      <c r="D24" s="8" t="s">
        <v>68</v>
      </c>
      <c r="E24" s="8" t="s">
        <v>69</v>
      </c>
      <c r="F24" s="8" t="s">
        <v>72</v>
      </c>
      <c r="G24" s="8" t="s">
        <v>71</v>
      </c>
      <c r="H24" s="8" t="s">
        <v>73</v>
      </c>
      <c r="I24" s="8" t="s">
        <v>179</v>
      </c>
      <c r="J24" s="8" t="s">
        <v>74</v>
      </c>
      <c r="K24" s="5"/>
      <c r="L24" s="8" t="s">
        <v>111</v>
      </c>
    </row>
    <row r="25" spans="1:12" x14ac:dyDescent="0.25">
      <c r="A25" s="1" t="s">
        <v>45</v>
      </c>
      <c r="B25" s="2" t="s">
        <v>44</v>
      </c>
      <c r="C25" t="str" cm="1">
        <f t="array" ref="C25">_xll.BDP(D25,"security_name")</f>
        <v>Brazil CNI IndexCAPCTY NSA</v>
      </c>
      <c r="D25" t="s">
        <v>43</v>
      </c>
      <c r="E25" s="4" t="s">
        <v>110</v>
      </c>
      <c r="F25" s="5"/>
      <c r="G25" s="5"/>
      <c r="H25" s="5"/>
      <c r="I25" s="5"/>
      <c r="J25" s="5"/>
      <c r="K25" s="5"/>
      <c r="L25" t="s">
        <v>111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bloomberg</vt:lpstr>
      <vt:lpstr>bloomberg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Marlon Koga</dc:creator>
  <cp:lastModifiedBy>Marlon Koga</cp:lastModifiedBy>
  <dcterms:created xsi:type="dcterms:W3CDTF">2020-07-10T14:06:33Z</dcterms:created>
  <dcterms:modified xsi:type="dcterms:W3CDTF">2020-07-21T23:16:09Z</dcterms:modified>
</cp:coreProperties>
</file>