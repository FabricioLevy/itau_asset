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uricio.pereira\Documents\GitHub\market_data\b3\"/>
    </mc:Choice>
  </mc:AlternateContent>
  <xr:revisionPtr revIDLastSave="0" documentId="13_ncr:1_{B2A0FB74-9F61-4AF3-935B-72FFB1C74ED0}" xr6:coauthVersionLast="47" xr6:coauthVersionMax="47" xr10:uidLastSave="{00000000-0000-0000-0000-000000000000}"/>
  <bookViews>
    <workbookView xWindow="-26640" yWindow="2160" windowWidth="21600" windowHeight="11385" activeTab="1" xr2:uid="{D7F16B43-4775-468C-854E-D645405CCC6E}"/>
  </bookViews>
  <sheets>
    <sheet name="Cover" sheetId="8" r:id="rId1"/>
    <sheet name="USDBRLFuture" sheetId="7" r:id="rId2"/>
    <sheet name="IBOVSPFuture" sheetId="6" r:id="rId3"/>
    <sheet name="DI1Future" sheetId="5" r:id="rId4"/>
    <sheet name="FRC" sheetId="4" r:id="rId5"/>
    <sheet name="DDI Future" sheetId="3" r:id="rId6"/>
    <sheet name="DAP Future" sheetId="2" r:id="rId7"/>
    <sheet name="Rolagem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8" l="1"/>
  <c r="D31" i="7"/>
  <c r="B30" i="7"/>
  <c r="F28" i="7"/>
  <c r="D27" i="7"/>
  <c r="B26" i="7"/>
  <c r="F24" i="7"/>
  <c r="D23" i="7"/>
  <c r="B22" i="7"/>
  <c r="F20" i="7"/>
  <c r="D19" i="7"/>
  <c r="B18" i="7"/>
  <c r="F16" i="7"/>
  <c r="D15" i="7"/>
  <c r="B14" i="7"/>
  <c r="F12" i="7"/>
  <c r="D11" i="7"/>
  <c r="B10" i="7"/>
  <c r="F8" i="7"/>
  <c r="D7" i="7"/>
  <c r="B6" i="7"/>
  <c r="F4" i="7"/>
  <c r="D3" i="7"/>
  <c r="B2" i="7"/>
  <c r="C31" i="7"/>
  <c r="G29" i="7"/>
  <c r="E28" i="7"/>
  <c r="C27" i="7"/>
  <c r="G25" i="7"/>
  <c r="E24" i="7"/>
  <c r="C23" i="7"/>
  <c r="G21" i="7"/>
  <c r="E20" i="7"/>
  <c r="C19" i="7"/>
  <c r="G17" i="7"/>
  <c r="E16" i="7"/>
  <c r="C15" i="7"/>
  <c r="G13" i="7"/>
  <c r="E12" i="7"/>
  <c r="C11" i="7"/>
  <c r="G9" i="7"/>
  <c r="E8" i="7"/>
  <c r="C7" i="7"/>
  <c r="G5" i="7"/>
  <c r="E4" i="7"/>
  <c r="C3" i="7"/>
  <c r="F3" i="7"/>
  <c r="G28" i="7"/>
  <c r="G24" i="7"/>
  <c r="G20" i="7"/>
  <c r="G16" i="7"/>
  <c r="G12" i="7"/>
  <c r="G8" i="7"/>
  <c r="G4" i="7"/>
  <c r="B31" i="7"/>
  <c r="F29" i="7"/>
  <c r="D28" i="7"/>
  <c r="B27" i="7"/>
  <c r="F25" i="7"/>
  <c r="D24" i="7"/>
  <c r="B23" i="7"/>
  <c r="F21" i="7"/>
  <c r="D20" i="7"/>
  <c r="B19" i="7"/>
  <c r="F17" i="7"/>
  <c r="D16" i="7"/>
  <c r="B15" i="7"/>
  <c r="F13" i="7"/>
  <c r="D12" i="7"/>
  <c r="B11" i="7"/>
  <c r="F9" i="7"/>
  <c r="D8" i="7"/>
  <c r="B7" i="7"/>
  <c r="F5" i="7"/>
  <c r="D4" i="7"/>
  <c r="B3" i="7"/>
  <c r="G30" i="7"/>
  <c r="E29" i="7"/>
  <c r="C28" i="7"/>
  <c r="G26" i="7"/>
  <c r="E25" i="7"/>
  <c r="C24" i="7"/>
  <c r="G22" i="7"/>
  <c r="E21" i="7"/>
  <c r="C20" i="7"/>
  <c r="G18" i="7"/>
  <c r="E17" i="7"/>
  <c r="C16" i="7"/>
  <c r="G14" i="7"/>
  <c r="E13" i="7"/>
  <c r="C12" i="7"/>
  <c r="G10" i="7"/>
  <c r="E9" i="7"/>
  <c r="C8" i="7"/>
  <c r="G6" i="7"/>
  <c r="E5" i="7"/>
  <c r="C4" i="7"/>
  <c r="G2" i="7"/>
  <c r="D30" i="7"/>
  <c r="F27" i="7"/>
  <c r="B25" i="7"/>
  <c r="D22" i="7"/>
  <c r="F19" i="7"/>
  <c r="D18" i="7"/>
  <c r="F15" i="7"/>
  <c r="D14" i="7"/>
  <c r="B13" i="7"/>
  <c r="D10" i="7"/>
  <c r="F7" i="7"/>
  <c r="B5" i="7"/>
  <c r="E31" i="7"/>
  <c r="E23" i="7"/>
  <c r="E19" i="7"/>
  <c r="E15" i="7"/>
  <c r="E11" i="7"/>
  <c r="E7" i="7"/>
  <c r="C2" i="7"/>
  <c r="E3" i="7"/>
  <c r="F30" i="7"/>
  <c r="D29" i="7"/>
  <c r="B28" i="7"/>
  <c r="F26" i="7"/>
  <c r="D25" i="7"/>
  <c r="B24" i="7"/>
  <c r="F22" i="7"/>
  <c r="D21" i="7"/>
  <c r="B20" i="7"/>
  <c r="F18" i="7"/>
  <c r="D17" i="7"/>
  <c r="B16" i="7"/>
  <c r="F14" i="7"/>
  <c r="D13" i="7"/>
  <c r="B12" i="7"/>
  <c r="F10" i="7"/>
  <c r="D9" i="7"/>
  <c r="B8" i="7"/>
  <c r="F6" i="7"/>
  <c r="D5" i="7"/>
  <c r="B4" i="7"/>
  <c r="F2" i="7"/>
  <c r="G31" i="7"/>
  <c r="E30" i="7"/>
  <c r="C29" i="7"/>
  <c r="G27" i="7"/>
  <c r="E26" i="7"/>
  <c r="C25" i="7"/>
  <c r="G23" i="7"/>
  <c r="E22" i="7"/>
  <c r="C21" i="7"/>
  <c r="G19" i="7"/>
  <c r="E18" i="7"/>
  <c r="C17" i="7"/>
  <c r="G15" i="7"/>
  <c r="E14" i="7"/>
  <c r="C13" i="7"/>
  <c r="G11" i="7"/>
  <c r="E10" i="7"/>
  <c r="C9" i="7"/>
  <c r="G7" i="7"/>
  <c r="E6" i="7"/>
  <c r="C5" i="7"/>
  <c r="G3" i="7"/>
  <c r="E2" i="7"/>
  <c r="F31" i="7"/>
  <c r="B29" i="7"/>
  <c r="D26" i="7"/>
  <c r="F23" i="7"/>
  <c r="B21" i="7"/>
  <c r="B17" i="7"/>
  <c r="F11" i="7"/>
  <c r="B9" i="7"/>
  <c r="D6" i="7"/>
  <c r="D2" i="7"/>
  <c r="C30" i="7"/>
  <c r="E27" i="7"/>
  <c r="C26" i="7"/>
  <c r="C22" i="7"/>
  <c r="C18" i="7"/>
  <c r="C14" i="7"/>
  <c r="C10" i="7"/>
  <c r="C6" i="7"/>
  <c r="E27" i="6"/>
  <c r="C26" i="6"/>
  <c r="G24" i="6"/>
  <c r="E23" i="6"/>
  <c r="C22" i="6"/>
  <c r="G20" i="6"/>
  <c r="E19" i="6"/>
  <c r="C18" i="6"/>
  <c r="G16" i="6"/>
  <c r="E15" i="6"/>
  <c r="C14" i="6"/>
  <c r="G12" i="6"/>
  <c r="E11" i="6"/>
  <c r="C10" i="6"/>
  <c r="G8" i="6"/>
  <c r="E7" i="6"/>
  <c r="C6" i="6"/>
  <c r="G4" i="6"/>
  <c r="E3" i="6"/>
  <c r="C2" i="6"/>
  <c r="E26" i="6"/>
  <c r="C21" i="6"/>
  <c r="E18" i="6"/>
  <c r="E10" i="6"/>
  <c r="C5" i="6"/>
  <c r="F23" i="6"/>
  <c r="B17" i="6"/>
  <c r="B9" i="6"/>
  <c r="D27" i="6"/>
  <c r="B26" i="6"/>
  <c r="F24" i="6"/>
  <c r="D23" i="6"/>
  <c r="B22" i="6"/>
  <c r="F20" i="6"/>
  <c r="D19" i="6"/>
  <c r="B18" i="6"/>
  <c r="F16" i="6"/>
  <c r="D15" i="6"/>
  <c r="B14" i="6"/>
  <c r="F12" i="6"/>
  <c r="D11" i="6"/>
  <c r="B10" i="6"/>
  <c r="F8" i="6"/>
  <c r="D7" i="6"/>
  <c r="B6" i="6"/>
  <c r="F4" i="6"/>
  <c r="D3" i="6"/>
  <c r="B2" i="6"/>
  <c r="G27" i="6"/>
  <c r="G19" i="6"/>
  <c r="E14" i="6"/>
  <c r="E6" i="6"/>
  <c r="B25" i="6"/>
  <c r="F15" i="6"/>
  <c r="B5" i="6"/>
  <c r="C27" i="6"/>
  <c r="G25" i="6"/>
  <c r="E24" i="6"/>
  <c r="C23" i="6"/>
  <c r="G21" i="6"/>
  <c r="E20" i="6"/>
  <c r="C19" i="6"/>
  <c r="G17" i="6"/>
  <c r="E16" i="6"/>
  <c r="C15" i="6"/>
  <c r="G13" i="6"/>
  <c r="E12" i="6"/>
  <c r="C11" i="6"/>
  <c r="G9" i="6"/>
  <c r="E8" i="6"/>
  <c r="C7" i="6"/>
  <c r="G5" i="6"/>
  <c r="E4" i="6"/>
  <c r="C3" i="6"/>
  <c r="G11" i="6"/>
  <c r="E2" i="6"/>
  <c r="B21" i="6"/>
  <c r="B13" i="6"/>
  <c r="F3" i="6"/>
  <c r="B27" i="6"/>
  <c r="F25" i="6"/>
  <c r="D24" i="6"/>
  <c r="B23" i="6"/>
  <c r="F21" i="6"/>
  <c r="D20" i="6"/>
  <c r="B19" i="6"/>
  <c r="F17" i="6"/>
  <c r="D16" i="6"/>
  <c r="B15" i="6"/>
  <c r="F13" i="6"/>
  <c r="D12" i="6"/>
  <c r="B11" i="6"/>
  <c r="F9" i="6"/>
  <c r="D8" i="6"/>
  <c r="B7" i="6"/>
  <c r="F5" i="6"/>
  <c r="D4" i="6"/>
  <c r="B3" i="6"/>
  <c r="G23" i="6"/>
  <c r="C17" i="6"/>
  <c r="G7" i="6"/>
  <c r="D26" i="6"/>
  <c r="D14" i="6"/>
  <c r="F7" i="6"/>
  <c r="G26" i="6"/>
  <c r="E25" i="6"/>
  <c r="C24" i="6"/>
  <c r="G22" i="6"/>
  <c r="E21" i="6"/>
  <c r="C20" i="6"/>
  <c r="G18" i="6"/>
  <c r="E17" i="6"/>
  <c r="C16" i="6"/>
  <c r="G14" i="6"/>
  <c r="E13" i="6"/>
  <c r="C12" i="6"/>
  <c r="G10" i="6"/>
  <c r="E9" i="6"/>
  <c r="C8" i="6"/>
  <c r="G6" i="6"/>
  <c r="E5" i="6"/>
  <c r="C4" i="6"/>
  <c r="G2" i="6"/>
  <c r="E22" i="6"/>
  <c r="C13" i="6"/>
  <c r="G3" i="6"/>
  <c r="D22" i="6"/>
  <c r="D18" i="6"/>
  <c r="F11" i="6"/>
  <c r="D6" i="6"/>
  <c r="F26" i="6"/>
  <c r="D25" i="6"/>
  <c r="B24" i="6"/>
  <c r="F22" i="6"/>
  <c r="D21" i="6"/>
  <c r="B20" i="6"/>
  <c r="F18" i="6"/>
  <c r="D17" i="6"/>
  <c r="B16" i="6"/>
  <c r="F14" i="6"/>
  <c r="D13" i="6"/>
  <c r="B12" i="6"/>
  <c r="F10" i="6"/>
  <c r="D9" i="6"/>
  <c r="B8" i="6"/>
  <c r="F6" i="6"/>
  <c r="D5" i="6"/>
  <c r="B4" i="6"/>
  <c r="F2" i="6"/>
  <c r="C25" i="6"/>
  <c r="G15" i="6"/>
  <c r="C9" i="6"/>
  <c r="F27" i="6"/>
  <c r="F19" i="6"/>
  <c r="D10" i="6"/>
  <c r="D2" i="6"/>
  <c r="F19" i="2"/>
  <c r="D18" i="2"/>
  <c r="B17" i="2"/>
  <c r="F15" i="2"/>
  <c r="D14" i="2"/>
  <c r="B13" i="2"/>
  <c r="F11" i="2"/>
  <c r="D10" i="2"/>
  <c r="B9" i="2"/>
  <c r="F7" i="2"/>
  <c r="D6" i="2"/>
  <c r="B5" i="2"/>
  <c r="F3" i="2"/>
  <c r="D2" i="2"/>
  <c r="E19" i="2"/>
  <c r="C18" i="2"/>
  <c r="G16" i="2"/>
  <c r="E15" i="2"/>
  <c r="C14" i="2"/>
  <c r="G12" i="2"/>
  <c r="E11" i="2"/>
  <c r="C10" i="2"/>
  <c r="G8" i="2"/>
  <c r="E7" i="2"/>
  <c r="C6" i="2"/>
  <c r="G4" i="2"/>
  <c r="E3" i="2"/>
  <c r="C2" i="2"/>
  <c r="B8" i="2"/>
  <c r="G19" i="2"/>
  <c r="G15" i="2"/>
  <c r="G11" i="2"/>
  <c r="E6" i="2"/>
  <c r="D19" i="2"/>
  <c r="B18" i="2"/>
  <c r="F16" i="2"/>
  <c r="D15" i="2"/>
  <c r="B14" i="2"/>
  <c r="F12" i="2"/>
  <c r="D11" i="2"/>
  <c r="B10" i="2"/>
  <c r="F8" i="2"/>
  <c r="D7" i="2"/>
  <c r="B6" i="2"/>
  <c r="F4" i="2"/>
  <c r="D3" i="2"/>
  <c r="B2" i="2"/>
  <c r="B16" i="2"/>
  <c r="F10" i="2"/>
  <c r="D5" i="2"/>
  <c r="E18" i="2"/>
  <c r="C13" i="2"/>
  <c r="G7" i="2"/>
  <c r="C19" i="2"/>
  <c r="G17" i="2"/>
  <c r="E16" i="2"/>
  <c r="C15" i="2"/>
  <c r="G13" i="2"/>
  <c r="E12" i="2"/>
  <c r="C11" i="2"/>
  <c r="G9" i="2"/>
  <c r="E8" i="2"/>
  <c r="C7" i="2"/>
  <c r="G5" i="2"/>
  <c r="E4" i="2"/>
  <c r="C3" i="2"/>
  <c r="E10" i="2"/>
  <c r="C5" i="2"/>
  <c r="B19" i="2"/>
  <c r="F17" i="2"/>
  <c r="D16" i="2"/>
  <c r="B15" i="2"/>
  <c r="F13" i="2"/>
  <c r="D12" i="2"/>
  <c r="B11" i="2"/>
  <c r="F9" i="2"/>
  <c r="D8" i="2"/>
  <c r="B7" i="2"/>
  <c r="F5" i="2"/>
  <c r="D4" i="2"/>
  <c r="B3" i="2"/>
  <c r="D17" i="2"/>
  <c r="F14" i="2"/>
  <c r="B12" i="2"/>
  <c r="F6" i="2"/>
  <c r="F2" i="2"/>
  <c r="E14" i="2"/>
  <c r="G3" i="2"/>
  <c r="G18" i="2"/>
  <c r="E17" i="2"/>
  <c r="C16" i="2"/>
  <c r="G14" i="2"/>
  <c r="E13" i="2"/>
  <c r="C12" i="2"/>
  <c r="G10" i="2"/>
  <c r="E9" i="2"/>
  <c r="C8" i="2"/>
  <c r="G6" i="2"/>
  <c r="E5" i="2"/>
  <c r="C4" i="2"/>
  <c r="G2" i="2"/>
  <c r="F18" i="2"/>
  <c r="D13" i="2"/>
  <c r="D9" i="2"/>
  <c r="B4" i="2"/>
  <c r="C17" i="2"/>
  <c r="C9" i="2"/>
  <c r="E2" i="2"/>
  <c r="D22" i="5"/>
  <c r="D2" i="5"/>
  <c r="C38" i="5"/>
  <c r="G32" i="5"/>
  <c r="C30" i="5"/>
  <c r="E27" i="5"/>
  <c r="G24" i="5"/>
  <c r="G20" i="5"/>
  <c r="C18" i="5"/>
  <c r="E15" i="5"/>
  <c r="G12" i="5"/>
  <c r="C10" i="5"/>
  <c r="C6" i="5"/>
  <c r="C2" i="5"/>
  <c r="G34" i="5"/>
  <c r="C24" i="5"/>
  <c r="G14" i="5"/>
  <c r="C4" i="5"/>
  <c r="E3" i="5"/>
  <c r="C8" i="5"/>
  <c r="E7" i="5"/>
  <c r="D39" i="5"/>
  <c r="B38" i="5"/>
  <c r="F36" i="5"/>
  <c r="D35" i="5"/>
  <c r="B34" i="5"/>
  <c r="F32" i="5"/>
  <c r="D31" i="5"/>
  <c r="B30" i="5"/>
  <c r="F28" i="5"/>
  <c r="D27" i="5"/>
  <c r="B26" i="5"/>
  <c r="F24" i="5"/>
  <c r="D23" i="5"/>
  <c r="B22" i="5"/>
  <c r="F20" i="5"/>
  <c r="D19" i="5"/>
  <c r="B18" i="5"/>
  <c r="F16" i="5"/>
  <c r="D15" i="5"/>
  <c r="B14" i="5"/>
  <c r="F12" i="5"/>
  <c r="D11" i="5"/>
  <c r="B10" i="5"/>
  <c r="F8" i="5"/>
  <c r="D7" i="5"/>
  <c r="B6" i="5"/>
  <c r="F4" i="5"/>
  <c r="D3" i="5"/>
  <c r="B2" i="5"/>
  <c r="C39" i="5"/>
  <c r="G37" i="5"/>
  <c r="E36" i="5"/>
  <c r="C35" i="5"/>
  <c r="G33" i="5"/>
  <c r="E32" i="5"/>
  <c r="C31" i="5"/>
  <c r="G29" i="5"/>
  <c r="E28" i="5"/>
  <c r="C27" i="5"/>
  <c r="G25" i="5"/>
  <c r="E24" i="5"/>
  <c r="C23" i="5"/>
  <c r="G21" i="5"/>
  <c r="E20" i="5"/>
  <c r="C19" i="5"/>
  <c r="G17" i="5"/>
  <c r="E16" i="5"/>
  <c r="C15" i="5"/>
  <c r="G13" i="5"/>
  <c r="E12" i="5"/>
  <c r="C11" i="5"/>
  <c r="G9" i="5"/>
  <c r="E8" i="5"/>
  <c r="C7" i="5"/>
  <c r="G5" i="5"/>
  <c r="E4" i="5"/>
  <c r="C3" i="5"/>
  <c r="B39" i="5"/>
  <c r="F37" i="5"/>
  <c r="D36" i="5"/>
  <c r="B35" i="5"/>
  <c r="F33" i="5"/>
  <c r="D32" i="5"/>
  <c r="B31" i="5"/>
  <c r="F29" i="5"/>
  <c r="D28" i="5"/>
  <c r="B27" i="5"/>
  <c r="F25" i="5"/>
  <c r="D24" i="5"/>
  <c r="B23" i="5"/>
  <c r="F21" i="5"/>
  <c r="D20" i="5"/>
  <c r="B19" i="5"/>
  <c r="F17" i="5"/>
  <c r="D16" i="5"/>
  <c r="B15" i="5"/>
  <c r="F13" i="5"/>
  <c r="D12" i="5"/>
  <c r="B11" i="5"/>
  <c r="F9" i="5"/>
  <c r="D8" i="5"/>
  <c r="F5" i="5"/>
  <c r="B3" i="5"/>
  <c r="E37" i="5"/>
  <c r="E33" i="5"/>
  <c r="C32" i="5"/>
  <c r="G30" i="5"/>
  <c r="C28" i="5"/>
  <c r="G22" i="5"/>
  <c r="C16" i="5"/>
  <c r="E9" i="5"/>
  <c r="B7" i="5"/>
  <c r="E25" i="5"/>
  <c r="G18" i="5"/>
  <c r="G6" i="5"/>
  <c r="D4" i="5"/>
  <c r="G10" i="5"/>
  <c r="G38" i="5"/>
  <c r="E29" i="5"/>
  <c r="C20" i="5"/>
  <c r="E13" i="5"/>
  <c r="G2" i="5"/>
  <c r="F38" i="5"/>
  <c r="D37" i="5"/>
  <c r="B36" i="5"/>
  <c r="F34" i="5"/>
  <c r="D33" i="5"/>
  <c r="B32" i="5"/>
  <c r="F30" i="5"/>
  <c r="D29" i="5"/>
  <c r="B28" i="5"/>
  <c r="F26" i="5"/>
  <c r="D25" i="5"/>
  <c r="B24" i="5"/>
  <c r="F22" i="5"/>
  <c r="D21" i="5"/>
  <c r="B20" i="5"/>
  <c r="F18" i="5"/>
  <c r="D17" i="5"/>
  <c r="B16" i="5"/>
  <c r="F14" i="5"/>
  <c r="D13" i="5"/>
  <c r="B12" i="5"/>
  <c r="F10" i="5"/>
  <c r="D9" i="5"/>
  <c r="B8" i="5"/>
  <c r="F6" i="5"/>
  <c r="D5" i="5"/>
  <c r="B4" i="5"/>
  <c r="F2" i="5"/>
  <c r="G39" i="5"/>
  <c r="E38" i="5"/>
  <c r="C37" i="5"/>
  <c r="G35" i="5"/>
  <c r="E34" i="5"/>
  <c r="C33" i="5"/>
  <c r="G31" i="5"/>
  <c r="E30" i="5"/>
  <c r="C29" i="5"/>
  <c r="G27" i="5"/>
  <c r="E26" i="5"/>
  <c r="C25" i="5"/>
  <c r="G23" i="5"/>
  <c r="E22" i="5"/>
  <c r="C21" i="5"/>
  <c r="G19" i="5"/>
  <c r="E18" i="5"/>
  <c r="C17" i="5"/>
  <c r="G15" i="5"/>
  <c r="E14" i="5"/>
  <c r="C13" i="5"/>
  <c r="G11" i="5"/>
  <c r="E10" i="5"/>
  <c r="C9" i="5"/>
  <c r="G7" i="5"/>
  <c r="E6" i="5"/>
  <c r="C5" i="5"/>
  <c r="G3" i="5"/>
  <c r="E2" i="5"/>
  <c r="F39" i="5"/>
  <c r="D38" i="5"/>
  <c r="B37" i="5"/>
  <c r="F35" i="5"/>
  <c r="D34" i="5"/>
  <c r="B33" i="5"/>
  <c r="F31" i="5"/>
  <c r="D30" i="5"/>
  <c r="B29" i="5"/>
  <c r="F27" i="5"/>
  <c r="D26" i="5"/>
  <c r="B25" i="5"/>
  <c r="F23" i="5"/>
  <c r="B21" i="5"/>
  <c r="F19" i="5"/>
  <c r="D18" i="5"/>
  <c r="B17" i="5"/>
  <c r="F15" i="5"/>
  <c r="D14" i="5"/>
  <c r="B13" i="5"/>
  <c r="F11" i="5"/>
  <c r="D10" i="5"/>
  <c r="B9" i="5"/>
  <c r="F7" i="5"/>
  <c r="D6" i="5"/>
  <c r="B5" i="5"/>
  <c r="F3" i="5"/>
  <c r="E39" i="5"/>
  <c r="G36" i="5"/>
  <c r="E35" i="5"/>
  <c r="C34" i="5"/>
  <c r="E31" i="5"/>
  <c r="G28" i="5"/>
  <c r="C26" i="5"/>
  <c r="E23" i="5"/>
  <c r="C22" i="5"/>
  <c r="E19" i="5"/>
  <c r="G16" i="5"/>
  <c r="C14" i="5"/>
  <c r="E11" i="5"/>
  <c r="G8" i="5"/>
  <c r="G4" i="5"/>
  <c r="C36" i="5"/>
  <c r="G26" i="5"/>
  <c r="E21" i="5"/>
  <c r="E17" i="5"/>
  <c r="C12" i="5"/>
  <c r="E5" i="5"/>
  <c r="G20" i="4"/>
  <c r="E17" i="4"/>
  <c r="C4" i="4"/>
  <c r="G24" i="4"/>
  <c r="E3" i="4"/>
  <c r="C8" i="4"/>
  <c r="G2" i="4"/>
  <c r="E23" i="4"/>
  <c r="C6" i="4"/>
  <c r="C16" i="4"/>
  <c r="E5" i="4"/>
  <c r="D39" i="4"/>
  <c r="B38" i="4"/>
  <c r="F36" i="4"/>
  <c r="D35" i="4"/>
  <c r="B34" i="4"/>
  <c r="F32" i="4"/>
  <c r="D31" i="4"/>
  <c r="B30" i="4"/>
  <c r="F28" i="4"/>
  <c r="D27" i="4"/>
  <c r="B26" i="4"/>
  <c r="F24" i="4"/>
  <c r="D23" i="4"/>
  <c r="B22" i="4"/>
  <c r="F20" i="4"/>
  <c r="D19" i="4"/>
  <c r="B18" i="4"/>
  <c r="F16" i="4"/>
  <c r="D15" i="4"/>
  <c r="B14" i="4"/>
  <c r="F12" i="4"/>
  <c r="D11" i="4"/>
  <c r="B10" i="4"/>
  <c r="F8" i="4"/>
  <c r="D7" i="4"/>
  <c r="B6" i="4"/>
  <c r="F4" i="4"/>
  <c r="D3" i="4"/>
  <c r="B2" i="4"/>
  <c r="C39" i="4"/>
  <c r="G37" i="4"/>
  <c r="E36" i="4"/>
  <c r="C35" i="4"/>
  <c r="G33" i="4"/>
  <c r="E32" i="4"/>
  <c r="C31" i="4"/>
  <c r="G29" i="4"/>
  <c r="E28" i="4"/>
  <c r="C27" i="4"/>
  <c r="G25" i="4"/>
  <c r="E24" i="4"/>
  <c r="C23" i="4"/>
  <c r="G21" i="4"/>
  <c r="E20" i="4"/>
  <c r="C19" i="4"/>
  <c r="G17" i="4"/>
  <c r="E16" i="4"/>
  <c r="C15" i="4"/>
  <c r="G13" i="4"/>
  <c r="E12" i="4"/>
  <c r="C11" i="4"/>
  <c r="G9" i="4"/>
  <c r="E8" i="4"/>
  <c r="C7" i="4"/>
  <c r="G5" i="4"/>
  <c r="E4" i="4"/>
  <c r="C3" i="4"/>
  <c r="B39" i="4"/>
  <c r="F37" i="4"/>
  <c r="D36" i="4"/>
  <c r="B35" i="4"/>
  <c r="F33" i="4"/>
  <c r="D32" i="4"/>
  <c r="B31" i="4"/>
  <c r="F29" i="4"/>
  <c r="D28" i="4"/>
  <c r="B27" i="4"/>
  <c r="F25" i="4"/>
  <c r="D24" i="4"/>
  <c r="B23" i="4"/>
  <c r="F21" i="4"/>
  <c r="B19" i="4"/>
  <c r="D16" i="4"/>
  <c r="B15" i="4"/>
  <c r="F13" i="4"/>
  <c r="D12" i="4"/>
  <c r="B11" i="4"/>
  <c r="F9" i="4"/>
  <c r="D8" i="4"/>
  <c r="B7" i="4"/>
  <c r="D4" i="4"/>
  <c r="B3" i="4"/>
  <c r="E37" i="4"/>
  <c r="E29" i="4"/>
  <c r="E25" i="4"/>
  <c r="E21" i="4"/>
  <c r="G14" i="4"/>
  <c r="G6" i="4"/>
  <c r="D20" i="4"/>
  <c r="F5" i="4"/>
  <c r="C36" i="4"/>
  <c r="C24" i="4"/>
  <c r="C12" i="4"/>
  <c r="F17" i="4"/>
  <c r="C28" i="4"/>
  <c r="G18" i="4"/>
  <c r="E9" i="4"/>
  <c r="G38" i="4"/>
  <c r="G34" i="4"/>
  <c r="E33" i="4"/>
  <c r="C32" i="4"/>
  <c r="G30" i="4"/>
  <c r="G26" i="4"/>
  <c r="G22" i="4"/>
  <c r="E13" i="4"/>
  <c r="F38" i="4"/>
  <c r="D37" i="4"/>
  <c r="B36" i="4"/>
  <c r="F34" i="4"/>
  <c r="D33" i="4"/>
  <c r="B32" i="4"/>
  <c r="F30" i="4"/>
  <c r="D29" i="4"/>
  <c r="B28" i="4"/>
  <c r="F26" i="4"/>
  <c r="D25" i="4"/>
  <c r="B24" i="4"/>
  <c r="F22" i="4"/>
  <c r="D21" i="4"/>
  <c r="B20" i="4"/>
  <c r="F18" i="4"/>
  <c r="D17" i="4"/>
  <c r="B16" i="4"/>
  <c r="F14" i="4"/>
  <c r="D13" i="4"/>
  <c r="B12" i="4"/>
  <c r="F10" i="4"/>
  <c r="D9" i="4"/>
  <c r="B8" i="4"/>
  <c r="F6" i="4"/>
  <c r="D5" i="4"/>
  <c r="B4" i="4"/>
  <c r="F2" i="4"/>
  <c r="G39" i="4"/>
  <c r="E38" i="4"/>
  <c r="C37" i="4"/>
  <c r="G35" i="4"/>
  <c r="E34" i="4"/>
  <c r="C33" i="4"/>
  <c r="G31" i="4"/>
  <c r="E30" i="4"/>
  <c r="C29" i="4"/>
  <c r="G27" i="4"/>
  <c r="E26" i="4"/>
  <c r="C25" i="4"/>
  <c r="G23" i="4"/>
  <c r="E22" i="4"/>
  <c r="C21" i="4"/>
  <c r="G19" i="4"/>
  <c r="E18" i="4"/>
  <c r="C17" i="4"/>
  <c r="G15" i="4"/>
  <c r="E14" i="4"/>
  <c r="C13" i="4"/>
  <c r="G11" i="4"/>
  <c r="E10" i="4"/>
  <c r="C9" i="4"/>
  <c r="G7" i="4"/>
  <c r="E6" i="4"/>
  <c r="C5" i="4"/>
  <c r="G3" i="4"/>
  <c r="E2" i="4"/>
  <c r="F39" i="4"/>
  <c r="D38" i="4"/>
  <c r="B37" i="4"/>
  <c r="F35" i="4"/>
  <c r="D34" i="4"/>
  <c r="B33" i="4"/>
  <c r="F31" i="4"/>
  <c r="D30" i="4"/>
  <c r="B29" i="4"/>
  <c r="F27" i="4"/>
  <c r="D26" i="4"/>
  <c r="B25" i="4"/>
  <c r="F23" i="4"/>
  <c r="D22" i="4"/>
  <c r="B21" i="4"/>
  <c r="F19" i="4"/>
  <c r="D18" i="4"/>
  <c r="B17" i="4"/>
  <c r="F15" i="4"/>
  <c r="D14" i="4"/>
  <c r="B13" i="4"/>
  <c r="F11" i="4"/>
  <c r="D10" i="4"/>
  <c r="B9" i="4"/>
  <c r="F7" i="4"/>
  <c r="D6" i="4"/>
  <c r="B5" i="4"/>
  <c r="F3" i="4"/>
  <c r="D2" i="4"/>
  <c r="E39" i="4"/>
  <c r="C38" i="4"/>
  <c r="G36" i="4"/>
  <c r="E35" i="4"/>
  <c r="C34" i="4"/>
  <c r="G32" i="4"/>
  <c r="E31" i="4"/>
  <c r="C30" i="4"/>
  <c r="G28" i="4"/>
  <c r="E27" i="4"/>
  <c r="C26" i="4"/>
  <c r="C22" i="4"/>
  <c r="E19" i="4"/>
  <c r="C18" i="4"/>
  <c r="G16" i="4"/>
  <c r="E15" i="4"/>
  <c r="C14" i="4"/>
  <c r="G12" i="4"/>
  <c r="E11" i="4"/>
  <c r="C10" i="4"/>
  <c r="G8" i="4"/>
  <c r="E7" i="4"/>
  <c r="G4" i="4"/>
  <c r="C2" i="4"/>
  <c r="C20" i="4"/>
  <c r="G10" i="4"/>
  <c r="G39" i="3"/>
  <c r="E38" i="3"/>
  <c r="C37" i="3"/>
  <c r="G35" i="3"/>
  <c r="E34" i="3"/>
  <c r="C33" i="3"/>
  <c r="G31" i="3"/>
  <c r="E30" i="3"/>
  <c r="C29" i="3"/>
  <c r="G27" i="3"/>
  <c r="E26" i="3"/>
  <c r="C25" i="3"/>
  <c r="G23" i="3"/>
  <c r="E22" i="3"/>
  <c r="C21" i="3"/>
  <c r="G19" i="3"/>
  <c r="E18" i="3"/>
  <c r="C17" i="3"/>
  <c r="G15" i="3"/>
  <c r="E14" i="3"/>
  <c r="C13" i="3"/>
  <c r="G11" i="3"/>
  <c r="E10" i="3"/>
  <c r="C9" i="3"/>
  <c r="G7" i="3"/>
  <c r="E6" i="3"/>
  <c r="C5" i="3"/>
  <c r="G3" i="3"/>
  <c r="E2" i="3"/>
  <c r="D30" i="3"/>
  <c r="B25" i="3"/>
  <c r="D22" i="3"/>
  <c r="F19" i="3"/>
  <c r="F15" i="3"/>
  <c r="D14" i="3"/>
  <c r="F11" i="3"/>
  <c r="B9" i="3"/>
  <c r="D6" i="3"/>
  <c r="F3" i="3"/>
  <c r="F39" i="3"/>
  <c r="D38" i="3"/>
  <c r="B37" i="3"/>
  <c r="F35" i="3"/>
  <c r="D34" i="3"/>
  <c r="B33" i="3"/>
  <c r="F31" i="3"/>
  <c r="B29" i="3"/>
  <c r="F27" i="3"/>
  <c r="D26" i="3"/>
  <c r="F23" i="3"/>
  <c r="B21" i="3"/>
  <c r="D18" i="3"/>
  <c r="B17" i="3"/>
  <c r="B13" i="3"/>
  <c r="D10" i="3"/>
  <c r="F7" i="3"/>
  <c r="B5" i="3"/>
  <c r="D2" i="3"/>
  <c r="E39" i="3"/>
  <c r="C38" i="3"/>
  <c r="G36" i="3"/>
  <c r="E35" i="3"/>
  <c r="C34" i="3"/>
  <c r="G32" i="3"/>
  <c r="E31" i="3"/>
  <c r="C30" i="3"/>
  <c r="G28" i="3"/>
  <c r="E27" i="3"/>
  <c r="C26" i="3"/>
  <c r="G24" i="3"/>
  <c r="E23" i="3"/>
  <c r="C22" i="3"/>
  <c r="G20" i="3"/>
  <c r="E19" i="3"/>
  <c r="C18" i="3"/>
  <c r="G16" i="3"/>
  <c r="E15" i="3"/>
  <c r="C14" i="3"/>
  <c r="G12" i="3"/>
  <c r="E11" i="3"/>
  <c r="C10" i="3"/>
  <c r="G8" i="3"/>
  <c r="E7" i="3"/>
  <c r="C6" i="3"/>
  <c r="G4" i="3"/>
  <c r="E3" i="3"/>
  <c r="C2" i="3"/>
  <c r="B38" i="3"/>
  <c r="D27" i="3"/>
  <c r="D23" i="3"/>
  <c r="F20" i="3"/>
  <c r="D19" i="3"/>
  <c r="F16" i="3"/>
  <c r="D15" i="3"/>
  <c r="F12" i="3"/>
  <c r="B10" i="3"/>
  <c r="D7" i="3"/>
  <c r="F4" i="3"/>
  <c r="B2" i="3"/>
  <c r="F9" i="3"/>
  <c r="F5" i="3"/>
  <c r="B16" i="3"/>
  <c r="D5" i="3"/>
  <c r="D39" i="3"/>
  <c r="F36" i="3"/>
  <c r="D35" i="3"/>
  <c r="B34" i="3"/>
  <c r="F32" i="3"/>
  <c r="D31" i="3"/>
  <c r="B30" i="3"/>
  <c r="F28" i="3"/>
  <c r="B26" i="3"/>
  <c r="F24" i="3"/>
  <c r="B22" i="3"/>
  <c r="B18" i="3"/>
  <c r="B14" i="3"/>
  <c r="D11" i="3"/>
  <c r="F8" i="3"/>
  <c r="B6" i="3"/>
  <c r="D3" i="3"/>
  <c r="D8" i="3"/>
  <c r="B3" i="3"/>
  <c r="B12" i="3"/>
  <c r="C39" i="3"/>
  <c r="G37" i="3"/>
  <c r="E36" i="3"/>
  <c r="C35" i="3"/>
  <c r="G33" i="3"/>
  <c r="E32" i="3"/>
  <c r="C31" i="3"/>
  <c r="G29" i="3"/>
  <c r="E28" i="3"/>
  <c r="C27" i="3"/>
  <c r="G25" i="3"/>
  <c r="E24" i="3"/>
  <c r="C23" i="3"/>
  <c r="G21" i="3"/>
  <c r="E20" i="3"/>
  <c r="C19" i="3"/>
  <c r="G17" i="3"/>
  <c r="E16" i="3"/>
  <c r="C15" i="3"/>
  <c r="G13" i="3"/>
  <c r="E12" i="3"/>
  <c r="C11" i="3"/>
  <c r="G9" i="3"/>
  <c r="E8" i="3"/>
  <c r="C7" i="3"/>
  <c r="G5" i="3"/>
  <c r="E4" i="3"/>
  <c r="C3" i="3"/>
  <c r="F33" i="3"/>
  <c r="B27" i="3"/>
  <c r="B23" i="3"/>
  <c r="D20" i="3"/>
  <c r="D16" i="3"/>
  <c r="F13" i="3"/>
  <c r="D12" i="3"/>
  <c r="B7" i="3"/>
  <c r="D13" i="3"/>
  <c r="F6" i="3"/>
  <c r="B39" i="3"/>
  <c r="F37" i="3"/>
  <c r="D36" i="3"/>
  <c r="B35" i="3"/>
  <c r="D32" i="3"/>
  <c r="B31" i="3"/>
  <c r="F29" i="3"/>
  <c r="D28" i="3"/>
  <c r="F25" i="3"/>
  <c r="D24" i="3"/>
  <c r="F21" i="3"/>
  <c r="B19" i="3"/>
  <c r="F17" i="3"/>
  <c r="B15" i="3"/>
  <c r="B11" i="3"/>
  <c r="D4" i="3"/>
  <c r="F10" i="3"/>
  <c r="B4" i="3"/>
  <c r="G38" i="3"/>
  <c r="E37" i="3"/>
  <c r="C36" i="3"/>
  <c r="G34" i="3"/>
  <c r="E33" i="3"/>
  <c r="C32" i="3"/>
  <c r="G30" i="3"/>
  <c r="E29" i="3"/>
  <c r="C28" i="3"/>
  <c r="G26" i="3"/>
  <c r="E25" i="3"/>
  <c r="C24" i="3"/>
  <c r="G22" i="3"/>
  <c r="E21" i="3"/>
  <c r="C20" i="3"/>
  <c r="G18" i="3"/>
  <c r="E17" i="3"/>
  <c r="C16" i="3"/>
  <c r="G14" i="3"/>
  <c r="E13" i="3"/>
  <c r="C12" i="3"/>
  <c r="G10" i="3"/>
  <c r="E9" i="3"/>
  <c r="C8" i="3"/>
  <c r="G6" i="3"/>
  <c r="E5" i="3"/>
  <c r="C4" i="3"/>
  <c r="G2" i="3"/>
  <c r="F38" i="3"/>
  <c r="D37" i="3"/>
  <c r="B36" i="3"/>
  <c r="F34" i="3"/>
  <c r="D33" i="3"/>
  <c r="B32" i="3"/>
  <c r="F30" i="3"/>
  <c r="D29" i="3"/>
  <c r="B28" i="3"/>
  <c r="F26" i="3"/>
  <c r="D25" i="3"/>
  <c r="B24" i="3"/>
  <c r="F22" i="3"/>
  <c r="D21" i="3"/>
  <c r="B20" i="3"/>
  <c r="F18" i="3"/>
  <c r="D17" i="3"/>
  <c r="F14" i="3"/>
  <c r="D9" i="3"/>
  <c r="B8" i="3"/>
  <c r="F2" i="3"/>
  <c r="C3" i="9" l="1"/>
  <c r="B3" i="9"/>
  <c r="E2" i="9"/>
  <c r="C2" i="9"/>
  <c r="E3" i="9"/>
  <c r="B2" i="9"/>
  <c r="D2" i="9"/>
  <c r="D3" i="9"/>
  <c r="B6" i="8" l="1"/>
  <c r="B3" i="8"/>
  <c r="B7" i="8"/>
  <c r="B8" i="8"/>
  <c r="B5" i="8"/>
  <c r="B4" i="8"/>
  <c r="C1" i="8" l="1" a="1"/>
  <c r="C1" i="8" s="1"/>
</calcChain>
</file>

<file path=xl/sharedStrings.xml><?xml version="1.0" encoding="utf-8"?>
<sst xmlns="http://schemas.openxmlformats.org/spreadsheetml/2006/main" count="244" uniqueCount="205">
  <si>
    <t>Ativo</t>
  </si>
  <si>
    <t>DAJ</t>
  </si>
  <si>
    <t>AJUT</t>
  </si>
  <si>
    <t>AJU</t>
  </si>
  <si>
    <t>DDIV22</t>
  </si>
  <si>
    <t>DDIF23</t>
  </si>
  <si>
    <t>DDIJ23</t>
  </si>
  <si>
    <t>DDIN23</t>
  </si>
  <si>
    <t>DDIV23</t>
  </si>
  <si>
    <t>DDIF24</t>
  </si>
  <si>
    <t>DDIJ24</t>
  </si>
  <si>
    <t>DDIN24</t>
  </si>
  <si>
    <t>DDIV24</t>
  </si>
  <si>
    <t>DDIF25</t>
  </si>
  <si>
    <t>DDIJ25</t>
  </si>
  <si>
    <t>DDIN25</t>
  </si>
  <si>
    <t>DDIV25</t>
  </si>
  <si>
    <t>DDIF26</t>
  </si>
  <si>
    <t>DDIN26</t>
  </si>
  <si>
    <t>DDIF27</t>
  </si>
  <si>
    <t>DDIF28</t>
  </si>
  <si>
    <t>DDIF29</t>
  </si>
  <si>
    <t>DDIF30</t>
  </si>
  <si>
    <t>DDIF31</t>
  </si>
  <si>
    <t>DDIF33</t>
  </si>
  <si>
    <t>DDIF35</t>
  </si>
  <si>
    <t>FRCV22</t>
  </si>
  <si>
    <t>FRCF23</t>
  </si>
  <si>
    <t>FRCJ23</t>
  </si>
  <si>
    <t>FRCN23</t>
  </si>
  <si>
    <t>FRCV23</t>
  </si>
  <si>
    <t>FRCF24</t>
  </si>
  <si>
    <t>FRCJ24</t>
  </si>
  <si>
    <t>FRCN24</t>
  </si>
  <si>
    <t>FRCV24</t>
  </si>
  <si>
    <t>FRCF25</t>
  </si>
  <si>
    <t>FRCJ25</t>
  </si>
  <si>
    <t>FRCN25</t>
  </si>
  <si>
    <t>FRCV25</t>
  </si>
  <si>
    <t>FRCF26</t>
  </si>
  <si>
    <t>FRCN26</t>
  </si>
  <si>
    <t>FRCF27</t>
  </si>
  <si>
    <t>FRCF28</t>
  </si>
  <si>
    <t>FRCF29</t>
  </si>
  <si>
    <t>FRCF30</t>
  </si>
  <si>
    <t>FRCF31</t>
  </si>
  <si>
    <t>FRCF33</t>
  </si>
  <si>
    <t>FRCF35</t>
  </si>
  <si>
    <t>DI1V22</t>
  </si>
  <si>
    <t>DI1F23</t>
  </si>
  <si>
    <t>DI1J23</t>
  </si>
  <si>
    <t>DI1N23</t>
  </si>
  <si>
    <t>DI1V23</t>
  </si>
  <si>
    <t>DI1F24</t>
  </si>
  <si>
    <t>DI1J24</t>
  </si>
  <si>
    <t>DI1N24</t>
  </si>
  <si>
    <t>DI1V24</t>
  </si>
  <si>
    <t>DI1F25</t>
  </si>
  <si>
    <t>DI1J25</t>
  </si>
  <si>
    <t>DI1N25</t>
  </si>
  <si>
    <t>DI1V25</t>
  </si>
  <si>
    <t>DI1F26</t>
  </si>
  <si>
    <t>DI1N26</t>
  </si>
  <si>
    <t>DI1F27</t>
  </si>
  <si>
    <t>DI1F28</t>
  </si>
  <si>
    <t>DI1F29</t>
  </si>
  <si>
    <t>DI1F30</t>
  </si>
  <si>
    <t>DI1F31</t>
  </si>
  <si>
    <t>DI1F33</t>
  </si>
  <si>
    <t>DI1F35</t>
  </si>
  <si>
    <t>INDQ22</t>
  </si>
  <si>
    <t>INDV22</t>
  </si>
  <si>
    <t>INDZ22</t>
  </si>
  <si>
    <t>DOLV22</t>
  </si>
  <si>
    <t>DOLF23</t>
  </si>
  <si>
    <t>DOLJ23</t>
  </si>
  <si>
    <t>DOLN23</t>
  </si>
  <si>
    <t>DOLV23</t>
  </si>
  <si>
    <t>DOLF24</t>
  </si>
  <si>
    <t>DOLN24</t>
  </si>
  <si>
    <t>DOLF25</t>
  </si>
  <si>
    <t>DDI</t>
  </si>
  <si>
    <t>FRC</t>
  </si>
  <si>
    <t>DI1Future</t>
  </si>
  <si>
    <t>DAP</t>
  </si>
  <si>
    <t>IBOVSPFuture</t>
  </si>
  <si>
    <t>USDBRLFuture</t>
  </si>
  <si>
    <t>Today:</t>
  </si>
  <si>
    <t>CAB</t>
  </si>
  <si>
    <t>CNG</t>
  </si>
  <si>
    <t>DAPQ22</t>
  </si>
  <si>
    <t>DAPK23</t>
  </si>
  <si>
    <t>DAPQ24</t>
  </si>
  <si>
    <t>DAPK25</t>
  </si>
  <si>
    <t>DAPQ26</t>
  </si>
  <si>
    <t>DAPQ28</t>
  </si>
  <si>
    <t>DAPQ30</t>
  </si>
  <si>
    <t>DAPK35</t>
  </si>
  <si>
    <t>DAPQ40</t>
  </si>
  <si>
    <t>DAPK45</t>
  </si>
  <si>
    <t>DAPQ50</t>
  </si>
  <si>
    <t>DAPK55</t>
  </si>
  <si>
    <t>INDG23</t>
  </si>
  <si>
    <t>DDIF36</t>
  </si>
  <si>
    <t>FRCF36</t>
  </si>
  <si>
    <t>DI1F36</t>
  </si>
  <si>
    <t>WDOV22</t>
  </si>
  <si>
    <t>WDOF23</t>
  </si>
  <si>
    <t>WDOF25</t>
  </si>
  <si>
    <t>DAPF23</t>
  </si>
  <si>
    <t>NEG</t>
  </si>
  <si>
    <t>DR1@0</t>
  </si>
  <si>
    <t>DR1@1</t>
  </si>
  <si>
    <t>DRF</t>
  </si>
  <si>
    <t>WINQ22</t>
  </si>
  <si>
    <t>WINV22</t>
  </si>
  <si>
    <t>WINZ22</t>
  </si>
  <si>
    <t>WING23</t>
  </si>
  <si>
    <t>DDIQ22</t>
  </si>
  <si>
    <t>DDIU22</t>
  </si>
  <si>
    <t>DDIX22</t>
  </si>
  <si>
    <t>DDIZ22</t>
  </si>
  <si>
    <t>DDIG23</t>
  </si>
  <si>
    <t>DDIH23</t>
  </si>
  <si>
    <t>DDIJ26</t>
  </si>
  <si>
    <t>DDIV26</t>
  </si>
  <si>
    <t>DDIF32</t>
  </si>
  <si>
    <t>DDIF34</t>
  </si>
  <si>
    <t>DDIF37</t>
  </si>
  <si>
    <t>FRCU22</t>
  </si>
  <si>
    <t>FRCX22</t>
  </si>
  <si>
    <t>FRCZ22</t>
  </si>
  <si>
    <t>FRCG23</t>
  </si>
  <si>
    <t>FRCH23</t>
  </si>
  <si>
    <t>FRCJ26</t>
  </si>
  <si>
    <t>FRCV26</t>
  </si>
  <si>
    <t>FRCF32</t>
  </si>
  <si>
    <t>FRCF34</t>
  </si>
  <si>
    <t>FRCF37</t>
  </si>
  <si>
    <t>DI1Q22</t>
  </si>
  <si>
    <t>DI1U22</t>
  </si>
  <si>
    <t>DI1X22</t>
  </si>
  <si>
    <t>DI1Z22</t>
  </si>
  <si>
    <t>DI1G23</t>
  </si>
  <si>
    <t>DI1H23</t>
  </si>
  <si>
    <t>DI1J26</t>
  </si>
  <si>
    <t>DI1V26</t>
  </si>
  <si>
    <t>DI1F32</t>
  </si>
  <si>
    <t>DI1F34</t>
  </si>
  <si>
    <t>DI1F37</t>
  </si>
  <si>
    <t>DAPF24</t>
  </si>
  <si>
    <t>DAPK27</t>
  </si>
  <si>
    <t>DAPQ32</t>
  </si>
  <si>
    <t>DAPQ60</t>
  </si>
  <si>
    <t>INDJ23</t>
  </si>
  <si>
    <t>WINJ23</t>
  </si>
  <si>
    <t>WINM23</t>
  </si>
  <si>
    <t>INDM23</t>
  </si>
  <si>
    <t>INDQ23</t>
  </si>
  <si>
    <t>WINQ23</t>
  </si>
  <si>
    <t>WINV23</t>
  </si>
  <si>
    <t>INDV23</t>
  </si>
  <si>
    <t>INDZ23</t>
  </si>
  <si>
    <t>WINZ23</t>
  </si>
  <si>
    <t>WING24</t>
  </si>
  <si>
    <t>INDG24</t>
  </si>
  <si>
    <t>DOLQ22</t>
  </si>
  <si>
    <t>WDOQ22</t>
  </si>
  <si>
    <t>DOLU22</t>
  </si>
  <si>
    <t>WDOU22</t>
  </si>
  <si>
    <t>DOLX22</t>
  </si>
  <si>
    <t>WDOX22</t>
  </si>
  <si>
    <t>DOLZ22</t>
  </si>
  <si>
    <t>DOLG23</t>
  </si>
  <si>
    <t>DOLH23</t>
  </si>
  <si>
    <t>WDOJ23</t>
  </si>
  <si>
    <t>WDOV23</t>
  </si>
  <si>
    <t>DOLJ24</t>
  </si>
  <si>
    <t>DOLV24</t>
  </si>
  <si>
    <t>DDIK23</t>
  </si>
  <si>
    <t>DDIM23</t>
  </si>
  <si>
    <t>DDIJ27</t>
  </si>
  <si>
    <t>FRCK23</t>
  </si>
  <si>
    <t>FRCM23</t>
  </si>
  <si>
    <t>FRCJ27</t>
  </si>
  <si>
    <t>DI1K23</t>
  </si>
  <si>
    <t>DI1M23</t>
  </si>
  <si>
    <t>DI1J27</t>
  </si>
  <si>
    <t>DAPU22</t>
  </si>
  <si>
    <t>INDJ24</t>
  </si>
  <si>
    <t>WINJ24</t>
  </si>
  <si>
    <t>WINM24</t>
  </si>
  <si>
    <t>INDM24</t>
  </si>
  <si>
    <t>INDQ24</t>
  </si>
  <si>
    <t>WINQ24</t>
  </si>
  <si>
    <t>WDOZ22</t>
  </si>
  <si>
    <t>DOLK23</t>
  </si>
  <si>
    <t>DOLM23</t>
  </si>
  <si>
    <t>WDOF24</t>
  </si>
  <si>
    <t>DOLJ25</t>
  </si>
  <si>
    <t>DOLN25</t>
  </si>
  <si>
    <t>DDIN27</t>
  </si>
  <si>
    <t>FRCN27</t>
  </si>
  <si>
    <t>DI1N27</t>
  </si>
  <si>
    <t>FRCQ22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</si>
</sst>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 x14ac:knownFonts="1"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0" borderId="0" xfId="0" applyFont="1"/>
    <xf numFmtId="15" fontId="2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 indent="1"/>
    </xf>
    <xf numFmtId="0" fontId="2" fillId="2" borderId="0" xfId="0" applyFont="1" applyFill="1" applyAlignment="1">
      <alignment horizontal="right" indent="1"/>
    </xf>
    <xf numFmtId="15" fontId="2" fillId="3" borderId="0" xfId="0" applyNumberFormat="1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1"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cpserver">
      <tp t="s">
        <v>#BCONN</v>
        <stp>localhost</stp>
        <stp>BC</stp>
        <stp>FIELD</stp>
        <stp>WINQ24</stp>
        <stp>AJUT</stp>
        <tr r="C27" s="6"/>
      </tp>
      <tp t="s">
        <v>#BCONN</v>
        <stp>localhost</stp>
        <stp>BC</stp>
        <stp>FIELD</stp>
        <stp>WING24</stp>
        <stp>AJUT</stp>
        <tr r="C20" s="6"/>
      </tp>
      <tp t="s">
        <v>#BCONN</v>
        <stp>localhost</stp>
        <stp>BC</stp>
        <stp>FIELD</stp>
        <stp>WINM24</stp>
        <stp>AJUT</stp>
        <tr r="C24" s="6"/>
      </tp>
      <tp t="s">
        <v>#BCONN</v>
        <stp>localhost</stp>
        <stp>BC</stp>
        <stp>FIELD</stp>
        <stp>WINJ24</stp>
        <stp>AJUT</stp>
        <tr r="C23" s="6"/>
      </tp>
      <tp t="s">
        <v>#BCONN</v>
        <stp>localhost</stp>
        <stp>BC</stp>
        <stp>FIELD</stp>
        <stp>WINV23</stp>
        <stp>AJUT</stp>
        <tr r="C16" s="6"/>
      </tp>
      <tp t="s">
        <v>#BCONN</v>
        <stp>localhost</stp>
        <stp>BC</stp>
        <stp>FIELD</stp>
        <stp>WINQ23</stp>
        <stp>AJUT</stp>
        <tr r="C15" s="6"/>
      </tp>
      <tp t="s">
        <v>#BCONN</v>
        <stp>localhost</stp>
        <stp>BC</stp>
        <stp>FIELD</stp>
        <stp>WINZ23</stp>
        <stp>AJUT</stp>
        <tr r="C19" s="6"/>
      </tp>
      <tp t="s">
        <v>#BCONN</v>
        <stp>localhost</stp>
        <stp>BC</stp>
        <stp>FIELD</stp>
        <stp>WING23</stp>
        <stp>AJUT</stp>
        <tr r="C8" s="6"/>
      </tp>
      <tp t="s">
        <v>#BCONN</v>
        <stp>localhost</stp>
        <stp>BC</stp>
        <stp>FIELD</stp>
        <stp>WINM23</stp>
        <stp>AJUT</stp>
        <tr r="C12" s="6"/>
      </tp>
      <tp t="s">
        <v>#BCONN</v>
        <stp>localhost</stp>
        <stp>BC</stp>
        <stp>FIELD</stp>
        <stp>WINJ23</stp>
        <stp>AJUT</stp>
        <tr r="C11" s="6"/>
      </tp>
      <tp t="s">
        <v>#BCONN</v>
        <stp>localhost</stp>
        <stp>BC</stp>
        <stp>FIELD</stp>
        <stp>WINV22</stp>
        <stp>AJUT</stp>
        <tr r="C4" s="6"/>
      </tp>
      <tp t="s">
        <v>#BCONN</v>
        <stp>localhost</stp>
        <stp>BC</stp>
        <stp>FIELD</stp>
        <stp>WINQ22</stp>
        <stp>AJUT</stp>
        <tr r="C3" s="6"/>
      </tp>
      <tp t="s">
        <v>#BCONN</v>
        <stp>localhost</stp>
        <stp>BC</stp>
        <stp>FIELD</stp>
        <stp>WINZ22</stp>
        <stp>AJUT</stp>
        <tr r="C7" s="6"/>
      </tp>
      <tp t="s">
        <v>#BCONN</v>
        <stp>localhost</stp>
        <stp>BC</stp>
        <stp>FIELD</stp>
        <stp>WDOU22</stp>
        <stp>AJUT</stp>
        <tr r="C5" s="7"/>
      </tp>
      <tp t="s">
        <v>#BCONN</v>
        <stp>localhost</stp>
        <stp>BC</stp>
        <stp>FIELD</stp>
        <stp>WDOV22</stp>
        <stp>AJUT</stp>
        <tr r="C6" s="7"/>
      </tp>
      <tp t="s">
        <v>#BCONN</v>
        <stp>localhost</stp>
        <stp>BC</stp>
        <stp>FIELD</stp>
        <stp>WDOQ22</stp>
        <stp>AJUT</stp>
        <tr r="C3" s="7"/>
      </tp>
      <tp t="s">
        <v>#BCONN</v>
        <stp>localhost</stp>
        <stp>BC</stp>
        <stp>FIELD</stp>
        <stp>WDOX22</stp>
        <stp>AJUT</stp>
        <tr r="C9" s="7"/>
      </tp>
      <tp t="s">
        <v>#BCONN</v>
        <stp>localhost</stp>
        <stp>BC</stp>
        <stp>FIELD</stp>
        <stp>WDOZ22</stp>
        <stp>AJUT</stp>
        <tr r="C10" s="7"/>
      </tp>
      <tp t="e">
        <v>#VALUE!</v>
        <stp>localhost</stp>
        <stp>BC</stp>
        <stp>FIELD</stp>
        <stp>WDOV23</stp>
        <stp>AJUT</stp>
        <tr r="C22" s="7"/>
      </tp>
      <tp t="s">
        <v>#BCONN</v>
        <stp>localhost</stp>
        <stp>BC</stp>
        <stp>FIELD</stp>
        <stp>WDOF23</stp>
        <stp>AJUT</stp>
        <tr r="C13" s="7"/>
      </tp>
      <tp t="e">
        <v>#VALUE!</v>
        <stp>localhost</stp>
        <stp>BC</stp>
        <stp>FIELD</stp>
        <stp>WDOJ23</stp>
        <stp>AJUT</stp>
        <tr r="C17" s="7"/>
      </tp>
      <tp t="e">
        <v>#VALUE!</v>
        <stp>localhost</stp>
        <stp>BC</stp>
        <stp>FIELD</stp>
        <stp>WDOF24</stp>
        <stp>AJUT</stp>
        <tr r="C23" s="7"/>
      </tp>
      <tp t="e">
        <v>#VALUE!</v>
        <stp>localhost</stp>
        <stp>BC</stp>
        <stp>FIELD</stp>
        <stp>WDOF25</stp>
        <stp>AJUT</stp>
        <tr r="C29" s="7"/>
      </tp>
      <tp t="s">
        <v>#BCONN</v>
        <stp>localhost</stp>
        <stp>BC</stp>
        <stp>FIELD</stp>
        <stp>DI1F27</stp>
        <stp>AJUT</stp>
        <tr r="C27" s="5"/>
      </tp>
      <tp t="s">
        <v>#BCONN</v>
        <stp>localhost</stp>
        <stp>BC</stp>
        <stp>FIELD</stp>
        <stp>DI1N27</stp>
        <stp>AJUT</stp>
        <tr r="C29" s="5"/>
      </tp>
      <tp t="s">
        <v>#BCONN</v>
        <stp>localhost</stp>
        <stp>BC</stp>
        <stp>FIELD</stp>
        <stp>DI1J27</stp>
        <stp>AJUT</stp>
        <tr r="C28" s="5"/>
      </tp>
      <tp t="s">
        <v>#BCONN</v>
        <stp>localhost</stp>
        <stp>BC</stp>
        <stp>FIELD</stp>
        <stp>DI1V26</stp>
        <stp>AJUT</stp>
        <tr r="C26" s="5"/>
      </tp>
      <tp t="s">
        <v>#BCONN</v>
        <stp>localhost</stp>
        <stp>BC</stp>
        <stp>FIELD</stp>
        <stp>DI1F26</stp>
        <stp>AJUT</stp>
        <tr r="C23" s="5"/>
      </tp>
      <tp t="s">
        <v>#BCONN</v>
        <stp>localhost</stp>
        <stp>BC</stp>
        <stp>FIELD</stp>
        <stp>DI1N26</stp>
        <stp>AJUT</stp>
        <tr r="C25" s="5"/>
      </tp>
      <tp t="s">
        <v>#BCONN</v>
        <stp>localhost</stp>
        <stp>BC</stp>
        <stp>FIELD</stp>
        <stp>DI1J26</stp>
        <stp>AJUT</stp>
        <tr r="C24" s="5"/>
      </tp>
      <tp t="s">
        <v>#BCONN</v>
        <stp>localhost</stp>
        <stp>BC</stp>
        <stp>FIELD</stp>
        <stp>DDIF28</stp>
        <stp>AJUT</stp>
        <tr r="C30" s="3"/>
      </tp>
      <tp t="e">
        <v>#VALUE!</v>
        <stp>localhost</stp>
        <stp>BC</stp>
        <stp>FIELD</stp>
        <stp>DOLV23</stp>
        <stp>AJUT</stp>
        <tr r="C21" s="7"/>
      </tp>
      <tp t="s">
        <v>#BCONN</v>
        <stp>localhost</stp>
        <stp>BC</stp>
        <stp>FIELD</stp>
        <stp>DOLG23</stp>
        <stp>AJUT</stp>
        <tr r="C14" s="7"/>
      </tp>
      <tp t="s">
        <v>#BCONN</v>
        <stp>localhost</stp>
        <stp>BC</stp>
        <stp>FIELD</stp>
        <stp>DOLF23</stp>
        <stp>AJUT</stp>
        <tr r="C12" s="7"/>
      </tp>
      <tp t="e">
        <v>#VALUE!</v>
        <stp>localhost</stp>
        <stp>BC</stp>
        <stp>FIELD</stp>
        <stp>DOLM23</stp>
        <stp>AJUT</stp>
        <tr r="C19" s="7"/>
      </tp>
      <tp t="e">
        <v>#VALUE!</v>
        <stp>localhost</stp>
        <stp>BC</stp>
        <stp>FIELD</stp>
        <stp>DOLN23</stp>
        <stp>AJUT</stp>
        <tr r="C20" s="7"/>
      </tp>
      <tp t="e">
        <v>#VALUE!</v>
        <stp>localhost</stp>
        <stp>BC</stp>
        <stp>FIELD</stp>
        <stp>DOLH23</stp>
        <stp>AJUT</stp>
        <tr r="C15" s="7"/>
      </tp>
      <tp t="e">
        <v>#VALUE!</v>
        <stp>localhost</stp>
        <stp>BC</stp>
        <stp>FIELD</stp>
        <stp>DOLK23</stp>
        <stp>AJUT</stp>
        <tr r="C18" s="7"/>
      </tp>
      <tp t="e">
        <v>#VALUE!</v>
        <stp>localhost</stp>
        <stp>BC</stp>
        <stp>FIELD</stp>
        <stp>DOLJ23</stp>
        <stp>AJUT</stp>
        <tr r="C16" s="7"/>
      </tp>
      <tp t="s">
        <v>#BCONN</v>
        <stp>localhost</stp>
        <stp>BC</stp>
        <stp>FIELD</stp>
        <stp>DI1V25</stp>
        <stp>AJUT</stp>
        <tr r="C22" s="5"/>
      </tp>
      <tp t="s">
        <v>#BCONN</v>
        <stp>localhost</stp>
        <stp>BC</stp>
        <stp>FIELD</stp>
        <stp>DI1F25</stp>
        <stp>AJUT</stp>
        <tr r="C19" s="5"/>
      </tp>
      <tp t="s">
        <v>#BCONN</v>
        <stp>localhost</stp>
        <stp>BC</stp>
        <stp>FIELD</stp>
        <stp>DI1N25</stp>
        <stp>AJUT</stp>
        <tr r="C21" s="5"/>
      </tp>
      <tp t="s">
        <v>#BCONN</v>
        <stp>localhost</stp>
        <stp>BC</stp>
        <stp>FIELD</stp>
        <stp>DI1J25</stp>
        <stp>AJUT</stp>
        <tr r="C20" s="5"/>
      </tp>
      <tp t="s">
        <v>#BCONN</v>
        <stp>localhost</stp>
        <stp>BC</stp>
        <stp>FIELD</stp>
        <stp>DDIF29</stp>
        <stp>AJUT</stp>
        <tr r="C31" s="3"/>
      </tp>
      <tp t="s">
        <v>#BCONN</v>
        <stp>localhost</stp>
        <stp>BC</stp>
        <stp>FIELD</stp>
        <stp>DOLU22</stp>
        <stp>AJUT</stp>
        <tr r="C4" s="7"/>
      </tp>
      <tp t="s">
        <v>#BCONN</v>
        <stp>localhost</stp>
        <stp>BC</stp>
        <stp>FIELD</stp>
        <stp>DOLV22</stp>
        <stp>AJUT</stp>
        <tr r="C7" s="7"/>
      </tp>
      <tp t="s">
        <v>#BCONN</v>
        <stp>localhost</stp>
        <stp>BC</stp>
        <stp>FIELD</stp>
        <stp>DOLQ22</stp>
        <stp>AJUT</stp>
        <tr r="C2" s="7"/>
      </tp>
      <tp t="s">
        <v>#BCONN</v>
        <stp>localhost</stp>
        <stp>BC</stp>
        <stp>FIELD</stp>
        <stp>DOLX22</stp>
        <stp>AJUT</stp>
        <tr r="C8" s="7"/>
      </tp>
      <tp t="s">
        <v>#BCONN</v>
        <stp>localhost</stp>
        <stp>BC</stp>
        <stp>FIELD</stp>
        <stp>DOLZ22</stp>
        <stp>AJUT</stp>
        <tr r="C11" s="7"/>
      </tp>
      <tp t="s">
        <v>#BCONN</v>
        <stp>localhost</stp>
        <stp>BC</stp>
        <stp>FIELD</stp>
        <stp>DI1V24</stp>
        <stp>AJUT</stp>
        <tr r="C18" s="5"/>
      </tp>
      <tp t="s">
        <v>#BCONN</v>
        <stp>localhost</stp>
        <stp>BC</stp>
        <stp>FIELD</stp>
        <stp>DI1F24</stp>
        <stp>AJUT</stp>
        <tr r="C15" s="5"/>
      </tp>
      <tp t="s">
        <v>#BCONN</v>
        <stp>localhost</stp>
        <stp>BC</stp>
        <stp>FIELD</stp>
        <stp>DI1N24</stp>
        <stp>AJUT</stp>
        <tr r="C17" s="5"/>
      </tp>
      <tp t="s">
        <v>#BCONN</v>
        <stp>localhost</stp>
        <stp>BC</stp>
        <stp>FIELD</stp>
        <stp>DI1J24</stp>
        <stp>AJUT</stp>
        <tr r="C16" s="5"/>
      </tp>
      <tp t="e">
        <v>#VALUE!</v>
        <stp>localhost</stp>
        <stp>BC</stp>
        <stp>FIELD</stp>
        <stp>DOLF25</stp>
        <stp>AJUT</stp>
        <tr r="C28" s="7"/>
      </tp>
      <tp t="e">
        <v>#VALUE!</v>
        <stp>localhost</stp>
        <stp>BC</stp>
        <stp>FIELD</stp>
        <stp>DOLN25</stp>
        <stp>AJUT</stp>
        <tr r="C31" s="7"/>
      </tp>
      <tp t="e">
        <v>#VALUE!</v>
        <stp>localhost</stp>
        <stp>BC</stp>
        <stp>FIELD</stp>
        <stp>DOLJ25</stp>
        <stp>AJUT</stp>
        <tr r="C30" s="7"/>
      </tp>
      <tp t="s">
        <v>#BCONN</v>
        <stp>localhost</stp>
        <stp>BC</stp>
        <stp>FIELD</stp>
        <stp>DI1V23</stp>
        <stp>AJUT</stp>
        <tr r="C14" s="5"/>
      </tp>
      <tp t="s">
        <v>#BCONN</v>
        <stp>localhost</stp>
        <stp>BC</stp>
        <stp>FIELD</stp>
        <stp>DI1G23</stp>
        <stp>AJUT</stp>
        <tr r="C8" s="5"/>
      </tp>
      <tp t="s">
        <v>#BCONN</v>
        <stp>localhost</stp>
        <stp>BC</stp>
        <stp>FIELD</stp>
        <stp>DI1F23</stp>
        <stp>AJUT</stp>
        <tr r="C7" s="5"/>
      </tp>
      <tp t="s">
        <v>#BCONN</v>
        <stp>localhost</stp>
        <stp>BC</stp>
        <stp>FIELD</stp>
        <stp>DI1M23</stp>
        <stp>AJUT</stp>
        <tr r="C12" s="5"/>
      </tp>
      <tp t="s">
        <v>#BCONN</v>
        <stp>localhost</stp>
        <stp>BC</stp>
        <stp>FIELD</stp>
        <stp>DI1N23</stp>
        <stp>AJUT</stp>
        <tr r="C13" s="5"/>
      </tp>
      <tp t="s">
        <v>#BCONN</v>
        <stp>localhost</stp>
        <stp>BC</stp>
        <stp>FIELD</stp>
        <stp>DI1H23</stp>
        <stp>AJUT</stp>
        <tr r="C9" s="5"/>
      </tp>
      <tp t="s">
        <v>#BCONN</v>
        <stp>localhost</stp>
        <stp>BC</stp>
        <stp>FIELD</stp>
        <stp>DI1K23</stp>
        <stp>AJUT</stp>
        <tr r="C11" s="5"/>
      </tp>
      <tp t="s">
        <v>#BCONN</v>
        <stp>localhost</stp>
        <stp>BC</stp>
        <stp>FIELD</stp>
        <stp>DI1J23</stp>
        <stp>AJUT</stp>
        <tr r="C10" s="5"/>
      </tp>
      <tp t="e">
        <v>#VALUE!</v>
        <stp>localhost</stp>
        <stp>BC</stp>
        <stp>FIELD</stp>
        <stp>DOLV24</stp>
        <stp>AJUT</stp>
        <tr r="C27" s="7"/>
      </tp>
      <tp t="e">
        <v>#VALUE!</v>
        <stp>localhost</stp>
        <stp>BC</stp>
        <stp>FIELD</stp>
        <stp>DOLF24</stp>
        <stp>AJUT</stp>
        <tr r="C24" s="7"/>
      </tp>
      <tp t="e">
        <v>#VALUE!</v>
        <stp>localhost</stp>
        <stp>BC</stp>
        <stp>FIELD</stp>
        <stp>DOLN24</stp>
        <stp>AJUT</stp>
        <tr r="C26" s="7"/>
      </tp>
      <tp t="e">
        <v>#VALUE!</v>
        <stp>localhost</stp>
        <stp>BC</stp>
        <stp>FIELD</stp>
        <stp>DOLJ24</stp>
        <stp>AJUT</stp>
        <tr r="C25" s="7"/>
      </tp>
      <tp t="s">
        <v>#BCONN</v>
        <stp>localhost</stp>
        <stp>BC</stp>
        <stp>FIELD</stp>
        <stp>DI1U22</stp>
        <stp>AJUT</stp>
        <tr r="C3" s="5"/>
      </tp>
      <tp t="s">
        <v>#BCONN</v>
        <stp>localhost</stp>
        <stp>BC</stp>
        <stp>FIELD</stp>
        <stp>DI1V22</stp>
        <stp>AJUT</stp>
        <tr r="C4" s="5"/>
      </tp>
      <tp t="s">
        <v>#BCONN</v>
        <stp>localhost</stp>
        <stp>BC</stp>
        <stp>FIELD</stp>
        <stp>DI1Q22</stp>
        <stp>AJUT</stp>
        <tr r="C2" s="5"/>
      </tp>
      <tp t="s">
        <v>#BCONN</v>
        <stp>localhost</stp>
        <stp>BC</stp>
        <stp>FIELD</stp>
        <stp>DI1X22</stp>
        <stp>AJUT</stp>
        <tr r="C5" s="5"/>
      </tp>
      <tp t="s">
        <v>#BCONN</v>
        <stp>localhost</stp>
        <stp>BC</stp>
        <stp>FIELD</stp>
        <stp>DI1Z22</stp>
        <stp>AJUT</stp>
        <tr r="C6" s="5"/>
      </tp>
      <tp t="s">
        <v>#BCONN</v>
        <stp>localhost</stp>
        <stp>BC</stp>
        <stp>FIELD</stp>
        <stp>DAPQ28</stp>
        <stp>AJUT</stp>
        <tr r="C11" s="2"/>
      </tp>
      <tp t="s">
        <v>#BCONN</v>
        <stp>localhost</stp>
        <stp>BC</stp>
        <stp>FIELD</stp>
        <stp>DDIU22</stp>
        <stp>AJUT</stp>
        <tr r="C3" s="3"/>
      </tp>
      <tp t="s">
        <v>#BCONN</v>
        <stp>localhost</stp>
        <stp>BC</stp>
        <stp>FIELD</stp>
        <stp>DDIV22</stp>
        <stp>AJUT</stp>
        <tr r="C4" s="3"/>
      </tp>
      <tp t="s">
        <v>#BCONN</v>
        <stp>localhost</stp>
        <stp>BC</stp>
        <stp>FIELD</stp>
        <stp>DDIQ22</stp>
        <stp>AJUT</stp>
        <tr r="C2" s="3"/>
      </tp>
      <tp t="s">
        <v>#BCONN</v>
        <stp>localhost</stp>
        <stp>BC</stp>
        <stp>FIELD</stp>
        <stp>DDIX22</stp>
        <stp>AJUT</stp>
        <tr r="C5" s="3"/>
      </tp>
      <tp t="s">
        <v>#BCONN</v>
        <stp>localhost</stp>
        <stp>BC</stp>
        <stp>FIELD</stp>
        <stp>DDIZ22</stp>
        <stp>AJUT</stp>
        <tr r="C6" s="3"/>
      </tp>
      <tp t="s">
        <v>#BCONN</v>
        <stp>localhost</stp>
        <stp>BC</stp>
        <stp>FIELD</stp>
        <stp>DAPK27</stp>
        <stp>AJUT</stp>
        <tr r="C10" s="2"/>
      </tp>
      <tp t="s">
        <v>#BCONN</v>
        <stp>localhost</stp>
        <stp>BC</stp>
        <stp>FIELD</stp>
        <stp>DDIV23</stp>
        <stp>AJUT</stp>
        <tr r="C14" s="3"/>
      </tp>
      <tp t="s">
        <v>#BCONN</v>
        <stp>localhost</stp>
        <stp>BC</stp>
        <stp>FIELD</stp>
        <stp>DDIG23</stp>
        <stp>AJUT</stp>
        <tr r="C8" s="3"/>
      </tp>
      <tp t="s">
        <v>#BCONN</v>
        <stp>localhost</stp>
        <stp>BC</stp>
        <stp>FIELD</stp>
        <stp>DDIF23</stp>
        <stp>AJUT</stp>
        <tr r="C7" s="3"/>
      </tp>
      <tp t="s">
        <v>#BCONN</v>
        <stp>localhost</stp>
        <stp>BC</stp>
        <stp>FIELD</stp>
        <stp>DDIM23</stp>
        <stp>AJUT</stp>
        <tr r="C12" s="3"/>
      </tp>
      <tp t="s">
        <v>#BCONN</v>
        <stp>localhost</stp>
        <stp>BC</stp>
        <stp>FIELD</stp>
        <stp>DDIN23</stp>
        <stp>AJUT</stp>
        <tr r="C13" s="3"/>
      </tp>
      <tp t="s">
        <v>#BCONN</v>
        <stp>localhost</stp>
        <stp>BC</stp>
        <stp>FIELD</stp>
        <stp>DDIH23</stp>
        <stp>AJUT</stp>
        <tr r="C9" s="3"/>
      </tp>
      <tp t="s">
        <v>#BCONN</v>
        <stp>localhost</stp>
        <stp>BC</stp>
        <stp>FIELD</stp>
        <stp>DDIK23</stp>
        <stp>AJUT</stp>
        <tr r="C11" s="3"/>
      </tp>
      <tp t="s">
        <v>#BCONN</v>
        <stp>localhost</stp>
        <stp>BC</stp>
        <stp>FIELD</stp>
        <stp>DDIJ23</stp>
        <stp>AJUT</stp>
        <tr r="C10" s="3"/>
      </tp>
      <tp t="s">
        <v>#BCONN</v>
        <stp>localhost</stp>
        <stp>BC</stp>
        <stp>FIELD</stp>
        <stp>DAPQ26</stp>
        <stp>AJUT</stp>
        <tr r="C9" s="2"/>
      </tp>
      <tp t="s">
        <v>#BCONN</v>
        <stp>localhost</stp>
        <stp>BC</stp>
        <stp>FIELD</stp>
        <stp>DAPK25</stp>
        <stp>AJUT</stp>
        <tr r="C8" s="2"/>
      </tp>
      <tp t="s">
        <v>#BCONN</v>
        <stp>localhost</stp>
        <stp>BC</stp>
        <stp>FIELD</stp>
        <stp>DAPQ24</stp>
        <stp>AJUT</stp>
        <tr r="C7" s="2"/>
      </tp>
      <tp t="s">
        <v>#BCONN</v>
        <stp>localhost</stp>
        <stp>BC</stp>
        <stp>FIELD</stp>
        <stp>DAPF24</stp>
        <stp>AJUT</stp>
        <tr r="C6" s="2"/>
      </tp>
      <tp t="s">
        <v>#BCONN</v>
        <stp>localhost</stp>
        <stp>BC</stp>
        <stp>FIELD</stp>
        <stp>DDIV26</stp>
        <stp>AJUT</stp>
        <tr r="C26" s="3"/>
      </tp>
      <tp t="s">
        <v>#BCONN</v>
        <stp>localhost</stp>
        <stp>BC</stp>
        <stp>FIELD</stp>
        <stp>DDIF26</stp>
        <stp>AJUT</stp>
        <tr r="C23" s="3"/>
      </tp>
      <tp t="s">
        <v>#BCONN</v>
        <stp>localhost</stp>
        <stp>BC</stp>
        <stp>FIELD</stp>
        <stp>DDIN26</stp>
        <stp>AJUT</stp>
        <tr r="C25" s="3"/>
      </tp>
      <tp t="s">
        <v>#BCONN</v>
        <stp>localhost</stp>
        <stp>BC</stp>
        <stp>FIELD</stp>
        <stp>DDIJ26</stp>
        <stp>AJUT</stp>
        <tr r="C24" s="3"/>
      </tp>
      <tp t="s">
        <v>#BCONN</v>
        <stp>localhost</stp>
        <stp>BC</stp>
        <stp>FIELD</stp>
        <stp>DAPF23</stp>
        <stp>AJUT</stp>
        <tr r="C4" s="2"/>
      </tp>
      <tp t="s">
        <v>#BCONN</v>
        <stp>localhost</stp>
        <stp>BC</stp>
        <stp>FIELD</stp>
        <stp>DAPK23</stp>
        <stp>AJUT</stp>
        <tr r="C5" s="2"/>
      </tp>
      <tp t="s">
        <v>#BCONN</v>
        <stp>localhost</stp>
        <stp>BC</stp>
        <stp>FIELD</stp>
        <stp>DDIF27</stp>
        <stp>AJUT</stp>
        <tr r="C27" s="3"/>
      </tp>
      <tp t="s">
        <v>#BCONN</v>
        <stp>localhost</stp>
        <stp>BC</stp>
        <stp>FIELD</stp>
        <stp>DDIN27</stp>
        <stp>AJUT</stp>
        <tr r="C29" s="3"/>
      </tp>
      <tp t="s">
        <v>#BCONN</v>
        <stp>localhost</stp>
        <stp>BC</stp>
        <stp>FIELD</stp>
        <stp>DDIJ27</stp>
        <stp>AJUT</stp>
        <tr r="C28" s="3"/>
      </tp>
      <tp t="s">
        <v>#BCONN</v>
        <stp>localhost</stp>
        <stp>BC</stp>
        <stp>FIELD</stp>
        <stp>DAPU22</stp>
        <stp>AJUT</stp>
        <tr r="C3" s="2"/>
      </tp>
      <tp t="s">
        <v>#BCONN</v>
        <stp>localhost</stp>
        <stp>BC</stp>
        <stp>FIELD</stp>
        <stp>DAPQ22</stp>
        <stp>AJUT</stp>
        <tr r="C2" s="2"/>
      </tp>
      <tp t="s">
        <v>#BCONN</v>
        <stp>localhost</stp>
        <stp>BC</stp>
        <stp>FIELD</stp>
        <stp>DDIV24</stp>
        <stp>AJUT</stp>
        <tr r="C18" s="3"/>
      </tp>
      <tp t="s">
        <v>#BCONN</v>
        <stp>localhost</stp>
        <stp>BC</stp>
        <stp>FIELD</stp>
        <stp>DDIF24</stp>
        <stp>AJUT</stp>
        <tr r="C15" s="3"/>
      </tp>
      <tp t="s">
        <v>#BCONN</v>
        <stp>localhost</stp>
        <stp>BC</stp>
        <stp>FIELD</stp>
        <stp>DDIN24</stp>
        <stp>AJUT</stp>
        <tr r="C17" s="3"/>
      </tp>
      <tp t="s">
        <v>#BCONN</v>
        <stp>localhost</stp>
        <stp>BC</stp>
        <stp>FIELD</stp>
        <stp>DDIJ24</stp>
        <stp>AJUT</stp>
        <tr r="C16" s="3"/>
      </tp>
      <tp t="s">
        <v>#BCONN</v>
        <stp>localhost</stp>
        <stp>BC</stp>
        <stp>FIELD</stp>
        <stp>DI1F29</stp>
        <stp>AJUT</stp>
        <tr r="C31" s="5"/>
      </tp>
      <tp t="s">
        <v>#BCONN</v>
        <stp>localhost</stp>
        <stp>BC</stp>
        <stp>FIELD</stp>
        <stp>DDIV25</stp>
        <stp>AJUT</stp>
        <tr r="C22" s="3"/>
      </tp>
      <tp t="s">
        <v>#BCONN</v>
        <stp>localhost</stp>
        <stp>BC</stp>
        <stp>FIELD</stp>
        <stp>DDIF25</stp>
        <stp>AJUT</stp>
        <tr r="C19" s="3"/>
      </tp>
      <tp t="s">
        <v>#BCONN</v>
        <stp>localhost</stp>
        <stp>BC</stp>
        <stp>FIELD</stp>
        <stp>DDIN25</stp>
        <stp>AJUT</stp>
        <tr r="C21" s="3"/>
      </tp>
      <tp t="s">
        <v>#BCONN</v>
        <stp>localhost</stp>
        <stp>BC</stp>
        <stp>FIELD</stp>
        <stp>DDIJ25</stp>
        <stp>AJUT</stp>
        <tr r="C20" s="3"/>
      </tp>
      <tp t="s">
        <v>#BCONN</v>
        <stp>localhost</stp>
        <stp>BC</stp>
        <stp>FIELD</stp>
        <stp>DI1F28</stp>
        <stp>AJUT</stp>
        <tr r="C30" s="5"/>
      </tp>
      <tp t="s">
        <v>#BCONN</v>
        <stp>localhost</stp>
        <stp>BC</stp>
        <stp>FIELD</stp>
        <stp>DR1@1</stp>
        <stp>ATIVO</stp>
        <tr r="B3" s="9"/>
      </tp>
      <tp t="s">
        <v>#BCONN</v>
        <stp>localhost</stp>
        <stp>BC</stp>
        <stp>FIELD</stp>
        <stp>DI1F37</stp>
        <stp>AJUT</stp>
        <tr r="C39" s="5"/>
      </tp>
      <tp t="s">
        <v>#BCONN</v>
        <stp>localhost</stp>
        <stp>BC</stp>
        <stp>FIELD</stp>
        <stp>DI1F36</stp>
        <stp>AJUT</stp>
        <tr r="C38" s="5"/>
      </tp>
      <tp t="s">
        <v>#BCONN</v>
        <stp>localhost</stp>
        <stp>BC</stp>
        <stp>FIELD</stp>
        <stp>DI1F35</stp>
        <stp>AJUT</stp>
        <tr r="C37" s="5"/>
      </tp>
      <tp t="s">
        <v>#BCONN</v>
        <stp>localhost</stp>
        <stp>BC</stp>
        <stp>FIELD</stp>
        <stp>DI1F34</stp>
        <stp>AJUT</stp>
        <tr r="C36" s="5"/>
      </tp>
      <tp t="s">
        <v>#BCONN</v>
        <stp>localhost</stp>
        <stp>BC</stp>
        <stp>FIELD</stp>
        <stp>DI1F33</stp>
        <stp>AJUT</stp>
        <tr r="C35" s="5"/>
      </tp>
      <tp t="s">
        <v>#BCONN</v>
        <stp>localhost</stp>
        <stp>BC</stp>
        <stp>FIELD</stp>
        <stp>DI1F32</stp>
        <stp>AJUT</stp>
        <tr r="C34" s="5"/>
      </tp>
      <tp t="s">
        <v>#BCONN</v>
        <stp>localhost</stp>
        <stp>BC</stp>
        <stp>FIELD</stp>
        <stp>DI1F31</stp>
        <stp>AJUT</stp>
        <tr r="C33" s="5"/>
      </tp>
      <tp t="s">
        <v>#BCONN</v>
        <stp>localhost</stp>
        <stp>BC</stp>
        <stp>FIELD</stp>
        <stp>DI1F30</stp>
        <stp>AJUT</stp>
        <tr r="C32" s="5"/>
      </tp>
      <tp t="s">
        <v>#BCONN</v>
        <stp>localhost</stp>
        <stp>BC</stp>
        <stp>FIELD</stp>
        <stp>DDIF32</stp>
        <stp>AJUT</stp>
        <tr r="C34" s="3"/>
      </tp>
      <tp t="s">
        <v>#BCONN</v>
        <stp>localhost</stp>
        <stp>BC</stp>
        <stp>FIELD</stp>
        <stp>DDIF33</stp>
        <stp>AJUT</stp>
        <tr r="C35" s="3"/>
      </tp>
      <tp t="s">
        <v>#BCONN</v>
        <stp>localhost</stp>
        <stp>BC</stp>
        <stp>FIELD</stp>
        <stp>DDIF30</stp>
        <stp>AJUT</stp>
        <tr r="C32" s="3"/>
      </tp>
      <tp t="s">
        <v>#BCONN</v>
        <stp>localhost</stp>
        <stp>BC</stp>
        <stp>FIELD</stp>
        <stp>DAPK35</stp>
        <stp>AJUT</stp>
        <tr r="C14" s="2"/>
      </tp>
      <tp t="s">
        <v>#BCONN</v>
        <stp>localhost</stp>
        <stp>BC</stp>
        <stp>FIELD</stp>
        <stp>DDIF31</stp>
        <stp>AJUT</stp>
        <tr r="C33" s="3"/>
      </tp>
      <tp t="s">
        <v>#BCONN</v>
        <stp>localhost</stp>
        <stp>BC</stp>
        <stp>FIELD</stp>
        <stp>DDIF36</stp>
        <stp>AJUT</stp>
        <tr r="C38" s="3"/>
      </tp>
      <tp t="s">
        <v>#BCONN</v>
        <stp>localhost</stp>
        <stp>BC</stp>
        <stp>FIELD</stp>
        <stp>DDIF37</stp>
        <stp>AJUT</stp>
        <tr r="C39" s="3"/>
      </tp>
      <tp t="s">
        <v>#BCONN</v>
        <stp>localhost</stp>
        <stp>BC</stp>
        <stp>FIELD</stp>
        <stp>DAPQ32</stp>
        <stp>AJUT</stp>
        <tr r="C13" s="2"/>
      </tp>
      <tp t="s">
        <v>#BCONN</v>
        <stp>localhost</stp>
        <stp>BC</stp>
        <stp>FIELD</stp>
        <stp>DDIF34</stp>
        <stp>AJUT</stp>
        <tr r="C36" s="3"/>
      </tp>
      <tp t="s">
        <v>#BCONN</v>
        <stp>localhost</stp>
        <stp>BC</stp>
        <stp>FIELD</stp>
        <stp>DDIF35</stp>
        <stp>AJUT</stp>
        <tr r="C37" s="3"/>
      </tp>
      <tp t="s">
        <v>#BCONN</v>
        <stp>localhost</stp>
        <stp>BC</stp>
        <stp>FIELD</stp>
        <stp>DAPQ30</stp>
        <stp>AJUT</stp>
        <tr r="C12" s="2"/>
      </tp>
      <tp t="s">
        <v>#BCONN</v>
        <stp>localhost</stp>
        <stp>BC</stp>
        <stp>FIELD</stp>
        <stp>DR1@0</stp>
        <stp>ATIVO</stp>
        <tr r="B2" s="9"/>
      </tp>
      <tp t="s">
        <v>#BCONN</v>
        <stp>localhost</stp>
        <stp>BC</stp>
        <stp>FIELD</stp>
        <stp>FRCF28</stp>
        <stp>AJUT</stp>
        <tr r="C30" s="4"/>
      </tp>
      <tp t="s">
        <v>#BCONN</v>
        <stp>localhost</stp>
        <stp>BC</stp>
        <stp>FIELD</stp>
        <stp>FRCF29</stp>
        <stp>AJUT</stp>
        <tr r="C31" s="4"/>
      </tp>
      <tp t="s">
        <v>#BCONN</v>
        <stp>localhost</stp>
        <stp>BC</stp>
        <stp>FIELD</stp>
        <stp>FRCV24</stp>
        <stp>AJUT</stp>
        <tr r="C18" s="4"/>
      </tp>
      <tp t="s">
        <v>#BCONN</v>
        <stp>localhost</stp>
        <stp>BC</stp>
        <stp>FIELD</stp>
        <stp>FRCF24</stp>
        <stp>AJUT</stp>
        <tr r="C15" s="4"/>
      </tp>
      <tp t="s">
        <v>#BCONN</v>
        <stp>localhost</stp>
        <stp>BC</stp>
        <stp>FIELD</stp>
        <stp>FRCN24</stp>
        <stp>AJUT</stp>
        <tr r="C17" s="4"/>
      </tp>
      <tp t="s">
        <v>#BCONN</v>
        <stp>localhost</stp>
        <stp>BC</stp>
        <stp>FIELD</stp>
        <stp>FRCJ24</stp>
        <stp>AJUT</stp>
        <tr r="C16" s="4"/>
      </tp>
      <tp t="s">
        <v>#BCONN</v>
        <stp>localhost</stp>
        <stp>BC</stp>
        <stp>FIELD</stp>
        <stp>FRCV25</stp>
        <stp>AJUT</stp>
        <tr r="C22" s="4"/>
      </tp>
      <tp t="s">
        <v>#BCONN</v>
        <stp>localhost</stp>
        <stp>BC</stp>
        <stp>FIELD</stp>
        <stp>FRCF25</stp>
        <stp>AJUT</stp>
        <tr r="C19" s="4"/>
      </tp>
      <tp t="s">
        <v>#BCONN</v>
        <stp>localhost</stp>
        <stp>BC</stp>
        <stp>FIELD</stp>
        <stp>FRCN25</stp>
        <stp>AJUT</stp>
        <tr r="C21" s="4"/>
      </tp>
      <tp t="s">
        <v>#BCONN</v>
        <stp>localhost</stp>
        <stp>BC</stp>
        <stp>FIELD</stp>
        <stp>FRCJ25</stp>
        <stp>AJUT</stp>
        <tr r="C20" s="4"/>
      </tp>
      <tp t="s">
        <v>#BCONN</v>
        <stp>localhost</stp>
        <stp>BC</stp>
        <stp>FIELD</stp>
        <stp>FRCV26</stp>
        <stp>AJUT</stp>
        <tr r="C26" s="4"/>
      </tp>
      <tp t="s">
        <v>#BCONN</v>
        <stp>localhost</stp>
        <stp>BC</stp>
        <stp>FIELD</stp>
        <stp>FRCF26</stp>
        <stp>AJUT</stp>
        <tr r="C23" s="4"/>
      </tp>
      <tp t="s">
        <v>#BCONN</v>
        <stp>localhost</stp>
        <stp>BC</stp>
        <stp>FIELD</stp>
        <stp>FRCN26</stp>
        <stp>AJUT</stp>
        <tr r="C25" s="4"/>
      </tp>
      <tp t="s">
        <v>#BCONN</v>
        <stp>localhost</stp>
        <stp>BC</stp>
        <stp>FIELD</stp>
        <stp>FRCJ26</stp>
        <stp>AJUT</stp>
        <tr r="C24" s="4"/>
      </tp>
      <tp t="s">
        <v>#BCONN</v>
        <stp>localhost</stp>
        <stp>BC</stp>
        <stp>FIELD</stp>
        <stp>FRCF27</stp>
        <stp>AJUT</stp>
        <tr r="C27" s="4"/>
      </tp>
      <tp t="s">
        <v>#BCONN</v>
        <stp>localhost</stp>
        <stp>BC</stp>
        <stp>FIELD</stp>
        <stp>FRCN27</stp>
        <stp>AJUT</stp>
        <tr r="C29" s="4"/>
      </tp>
      <tp t="s">
        <v>#BCONN</v>
        <stp>localhost</stp>
        <stp>BC</stp>
        <stp>FIELD</stp>
        <stp>FRCJ27</stp>
        <stp>AJUT</stp>
        <tr r="C28" s="4"/>
      </tp>
      <tp t="s">
        <v>#BCONN</v>
        <stp>localhost</stp>
        <stp>BC</stp>
        <stp>FIELD</stp>
        <stp>FRCU22</stp>
        <stp>AJUT</stp>
        <tr r="C3" s="4"/>
      </tp>
      <tp t="s">
        <v>#BCONN</v>
        <stp>localhost</stp>
        <stp>BC</stp>
        <stp>FIELD</stp>
        <stp>FRCV22</stp>
        <stp>AJUT</stp>
        <tr r="C4" s="4"/>
      </tp>
      <tp t="s">
        <v>#BCONN</v>
        <stp>localhost</stp>
        <stp>BC</stp>
        <stp>FIELD</stp>
        <stp>FRCQ22</stp>
        <stp>AJUT</stp>
        <tr r="C2" s="4"/>
      </tp>
      <tp t="s">
        <v>#BCONN</v>
        <stp>localhost</stp>
        <stp>BC</stp>
        <stp>FIELD</stp>
        <stp>FRCX22</stp>
        <stp>AJUT</stp>
        <tr r="C5" s="4"/>
      </tp>
      <tp t="s">
        <v>#BCONN</v>
        <stp>localhost</stp>
        <stp>BC</stp>
        <stp>FIELD</stp>
        <stp>FRCZ22</stp>
        <stp>AJUT</stp>
        <tr r="C6" s="4"/>
      </tp>
      <tp t="s">
        <v>#BCONN</v>
        <stp>localhost</stp>
        <stp>BC</stp>
        <stp>FIELD</stp>
        <stp>FRCV23</stp>
        <stp>AJUT</stp>
        <tr r="C14" s="4"/>
      </tp>
      <tp t="s">
        <v>#BCONN</v>
        <stp>localhost</stp>
        <stp>BC</stp>
        <stp>FIELD</stp>
        <stp>FRCG23</stp>
        <stp>AJUT</stp>
        <tr r="C8" s="4"/>
      </tp>
      <tp t="s">
        <v>#BCONN</v>
        <stp>localhost</stp>
        <stp>BC</stp>
        <stp>FIELD</stp>
        <stp>FRCF23</stp>
        <stp>AJUT</stp>
        <tr r="C7" s="4"/>
      </tp>
      <tp t="s">
        <v>#BCONN</v>
        <stp>localhost</stp>
        <stp>BC</stp>
        <stp>FIELD</stp>
        <stp>FRCM23</stp>
        <stp>AJUT</stp>
        <tr r="C12" s="4"/>
      </tp>
      <tp t="s">
        <v>#BCONN</v>
        <stp>localhost</stp>
        <stp>BC</stp>
        <stp>FIELD</stp>
        <stp>FRCN23</stp>
        <stp>AJUT</stp>
        <tr r="C13" s="4"/>
      </tp>
      <tp t="s">
        <v>#BCONN</v>
        <stp>localhost</stp>
        <stp>BC</stp>
        <stp>FIELD</stp>
        <stp>FRCH23</stp>
        <stp>AJUT</stp>
        <tr r="C9" s="4"/>
      </tp>
      <tp t="s">
        <v>#BCONN</v>
        <stp>localhost</stp>
        <stp>BC</stp>
        <stp>FIELD</stp>
        <stp>FRCK23</stp>
        <stp>AJUT</stp>
        <tr r="C11" s="4"/>
      </tp>
      <tp t="s">
        <v>#BCONN</v>
        <stp>localhost</stp>
        <stp>BC</stp>
        <stp>FIELD</stp>
        <stp>FRCJ23</stp>
        <stp>AJUT</stp>
        <tr r="C10" s="4"/>
      </tp>
      <tp t="s">
        <v>#BCONN</v>
        <stp>localhost</stp>
        <stp>BC</stp>
        <stp>FIELD</stp>
        <stp>FRCF34</stp>
        <stp>AJUT</stp>
        <tr r="C36" s="4"/>
      </tp>
      <tp t="s">
        <v>#BCONN</v>
        <stp>localhost</stp>
        <stp>BC</stp>
        <stp>FIELD</stp>
        <stp>FRCF35</stp>
        <stp>AJUT</stp>
        <tr r="C37" s="4"/>
      </tp>
      <tp t="s">
        <v>#BCONN</v>
        <stp>localhost</stp>
        <stp>BC</stp>
        <stp>FIELD</stp>
        <stp>FRCF36</stp>
        <stp>AJUT</stp>
        <tr r="C38" s="4"/>
      </tp>
      <tp t="s">
        <v>#BCONN</v>
        <stp>localhost</stp>
        <stp>BC</stp>
        <stp>FIELD</stp>
        <stp>FRCF37</stp>
        <stp>AJUT</stp>
        <tr r="C39" s="4"/>
      </tp>
      <tp t="s">
        <v>#BCONN</v>
        <stp>localhost</stp>
        <stp>BC</stp>
        <stp>FIELD</stp>
        <stp>FRCF30</stp>
        <stp>AJUT</stp>
        <tr r="C32" s="4"/>
      </tp>
      <tp t="s">
        <v>#BCONN</v>
        <stp>localhost</stp>
        <stp>BC</stp>
        <stp>FIELD</stp>
        <stp>FRCF31</stp>
        <stp>AJUT</stp>
        <tr r="C33" s="4"/>
      </tp>
      <tp t="s">
        <v>#BCONN</v>
        <stp>localhost</stp>
        <stp>BC</stp>
        <stp>FIELD</stp>
        <stp>FRCF32</stp>
        <stp>AJUT</stp>
        <tr r="C34" s="4"/>
      </tp>
      <tp t="s">
        <v>#BCONN</v>
        <stp>localhost</stp>
        <stp>BC</stp>
        <stp>FIELD</stp>
        <stp>FRCF33</stp>
        <stp>AJUT</stp>
        <tr r="C35" s="4"/>
      </tp>
      <tp t="s">
        <v>#BCONN</v>
        <stp>localhost</stp>
        <stp>BC</stp>
        <stp>FIELD</stp>
        <stp>DAPQ60</stp>
        <stp>AJUT</stp>
        <tr r="C19" s="2"/>
      </tp>
      <tp t="s">
        <v>#BCONN</v>
        <stp>localhost</stp>
        <stp>BC</stp>
        <stp>FIELD</stp>
        <stp>DAPK45</stp>
        <stp>AJUT</stp>
        <tr r="C16" s="2"/>
      </tp>
      <tp t="s">
        <v>#BCONN</v>
        <stp>localhost</stp>
        <stp>BC</stp>
        <stp>FIELD</stp>
        <stp>DAPQ40</stp>
        <stp>AJUT</stp>
        <tr r="C15" s="2"/>
      </tp>
      <tp t="s">
        <v>#BCONN</v>
        <stp>localhost</stp>
        <stp>BC</stp>
        <stp>FIELD</stp>
        <stp>DAPK55</stp>
        <stp>AJUT</stp>
        <tr r="C18" s="2"/>
      </tp>
      <tp t="s">
        <v>#BCONN</v>
        <stp>localhost</stp>
        <stp>BC</stp>
        <stp>FIELD</stp>
        <stp>DAPQ50</stp>
        <stp>AJUT</stp>
        <tr r="C17" s="2"/>
      </tp>
      <tp t="s">
        <v>#BCONN</v>
        <stp>localhost</stp>
        <stp>BC</stp>
        <stp>FIELD</stp>
        <stp>INDV22</stp>
        <stp>AJUT</stp>
        <tr r="C5" s="6"/>
      </tp>
      <tp t="s">
        <v>#BCONN</v>
        <stp>localhost</stp>
        <stp>BC</stp>
        <stp>FIELD</stp>
        <stp>INDQ22</stp>
        <stp>AJUT</stp>
        <tr r="C2" s="6"/>
      </tp>
      <tp t="s">
        <v>#BCONN</v>
        <stp>localhost</stp>
        <stp>BC</stp>
        <stp>FIELD</stp>
        <stp>INDZ22</stp>
        <stp>AJUT</stp>
        <tr r="C6" s="6"/>
      </tp>
      <tp t="s">
        <v>#BCONN</v>
        <stp>localhost</stp>
        <stp>BC</stp>
        <stp>FIELD</stp>
        <stp>INDV23</stp>
        <stp>AJUT</stp>
        <tr r="C17" s="6"/>
      </tp>
      <tp t="s">
        <v>#BCONN</v>
        <stp>localhost</stp>
        <stp>BC</stp>
        <stp>FIELD</stp>
        <stp>INDQ23</stp>
        <stp>AJUT</stp>
        <tr r="C14" s="6"/>
      </tp>
      <tp t="s">
        <v>#BCONN</v>
        <stp>localhost</stp>
        <stp>BC</stp>
        <stp>FIELD</stp>
        <stp>INDZ23</stp>
        <stp>AJUT</stp>
        <tr r="C18" s="6"/>
      </tp>
      <tp t="s">
        <v>#BCONN</v>
        <stp>localhost</stp>
        <stp>BC</stp>
        <stp>FIELD</stp>
        <stp>INDG23</stp>
        <stp>AJUT</stp>
        <tr r="C9" s="6"/>
      </tp>
      <tp t="s">
        <v>#BCONN</v>
        <stp>localhost</stp>
        <stp>BC</stp>
        <stp>FIELD</stp>
        <stp>INDM23</stp>
        <stp>AJUT</stp>
        <tr r="C13" s="6"/>
      </tp>
      <tp t="s">
        <v>#BCONN</v>
        <stp>localhost</stp>
        <stp>BC</stp>
        <stp>FIELD</stp>
        <stp>INDJ23</stp>
        <stp>AJUT</stp>
        <tr r="C10" s="6"/>
      </tp>
      <tp t="s">
        <v>#BCONN</v>
        <stp>localhost</stp>
        <stp>BC</stp>
        <stp>FIELD</stp>
        <stp>INDQ24</stp>
        <stp>AJUT</stp>
        <tr r="C26" s="6"/>
      </tp>
      <tp t="s">
        <v>#BCONN</v>
        <stp>localhost</stp>
        <stp>BC</stp>
        <stp>FIELD</stp>
        <stp>INDG24</stp>
        <stp>AJUT</stp>
        <tr r="C21" s="6"/>
      </tp>
      <tp t="s">
        <v>#BCONN</v>
        <stp>localhost</stp>
        <stp>BC</stp>
        <stp>FIELD</stp>
        <stp>INDM24</stp>
        <stp>AJUT</stp>
        <tr r="C25" s="6"/>
      </tp>
      <tp t="s">
        <v>#BCONN</v>
        <stp>localhost</stp>
        <stp>BC</stp>
        <stp>FIELD</stp>
        <stp>INDJ24</stp>
        <stp>AJUT</stp>
        <tr r="C22" s="6"/>
      </tp>
      <tp t="s">
        <v>#BCONN</v>
        <stp>localhost</stp>
        <stp>BC</stp>
        <stp>FIELD</stp>
        <stp>WDOU22</stp>
        <stp>AJU</stp>
        <tr r="D5" s="7"/>
      </tp>
      <tp t="s">
        <v>#BCONN</v>
        <stp>localhost</stp>
        <stp>BC</stp>
        <stp>FIELD</stp>
        <stp>WINZ23</stp>
        <stp>NEG</stp>
        <tr r="G19" s="6"/>
      </tp>
      <tp t="s">
        <v>#BCONN</v>
        <stp>localhost</stp>
        <stp>BC</stp>
        <stp>FIELD</stp>
        <stp>WINZ22</stp>
        <stp>NEG</stp>
        <tr r="G7" s="6"/>
      </tp>
      <tp t="s">
        <v>#BCONN</v>
        <stp>localhost</stp>
        <stp>BC</stp>
        <stp>FIELD</stp>
        <stp>WDOZ22</stp>
        <stp>NEG</stp>
        <tr r="G10" s="7"/>
      </tp>
      <tp t="s">
        <v>#BCONN</v>
        <stp>localhost</stp>
        <stp>BC</stp>
        <stp>FIELD</stp>
        <stp>DOLU22</stp>
        <stp>AJU</stp>
        <tr r="D4" s="7"/>
      </tp>
      <tp t="s">
        <v>#BCONN</v>
        <stp>localhost</stp>
        <stp>BC</stp>
        <stp>FIELD</stp>
        <stp>DI1U22</stp>
        <stp>AJU</stp>
        <tr r="D3" s="5"/>
      </tp>
      <tp t="s">
        <v>#BCONN</v>
        <stp>localhost</stp>
        <stp>BC</stp>
        <stp>FIELD</stp>
        <stp>DDIU22</stp>
        <stp>AJU</stp>
        <tr r="D3" s="3"/>
      </tp>
      <tp t="s">
        <v>#BCONN</v>
        <stp>localhost</stp>
        <stp>BC</stp>
        <stp>FIELD</stp>
        <stp>DAPU22</stp>
        <stp>AJU</stp>
        <tr r="D3" s="2"/>
      </tp>
      <tp t="s">
        <v>#BCONN</v>
        <stp>localhost</stp>
        <stp>BC</stp>
        <stp>FIELD</stp>
        <stp>INDZ22</stp>
        <stp>NEG</stp>
        <tr r="G6" s="6"/>
      </tp>
      <tp t="s">
        <v>#BCONN</v>
        <stp>localhost</stp>
        <stp>BC</stp>
        <stp>FIELD</stp>
        <stp>INDZ23</stp>
        <stp>NEG</stp>
        <tr r="G18" s="6"/>
      </tp>
      <tp t="s">
        <v>#BCONN</v>
        <stp>localhost</stp>
        <stp>BC</stp>
        <stp>FIELD</stp>
        <stp>FRCU22</stp>
        <stp>AJU</stp>
        <tr r="D3" s="4"/>
      </tp>
      <tp t="s">
        <v>#BCONN</v>
        <stp>localhost</stp>
        <stp>BC</stp>
        <stp>FIELD</stp>
        <stp>FRCZ22</stp>
        <stp>NEG</stp>
        <tr r="G6" s="4"/>
      </tp>
      <tp t="s">
        <v>#BCONN</v>
        <stp>localhost</stp>
        <stp>BC</stp>
        <stp>FIELD</stp>
        <stp>DOLZ22</stp>
        <stp>NEG</stp>
        <tr r="G11" s="7"/>
      </tp>
      <tp t="s">
        <v>#BCONN</v>
        <stp>localhost</stp>
        <stp>BC</stp>
        <stp>FIELD</stp>
        <stp>DI1Z22</stp>
        <stp>NEG</stp>
        <tr r="G6" s="5"/>
      </tp>
      <tp t="s">
        <v>#BCONN</v>
        <stp>localhost</stp>
        <stp>BC</stp>
        <stp>FIELD</stp>
        <stp>DDIZ22</stp>
        <stp>NEG</stp>
        <tr r="G6" s="3"/>
      </tp>
      <tp t="s">
        <v>#BCONN</v>
        <stp>localhost</stp>
        <stp>BC</stp>
        <stp>FIELD</stp>
        <stp>WINV23</stp>
        <stp>CNG</stp>
        <tr r="F16" s="6"/>
      </tp>
      <tp t="s">
        <v>#BCONN</v>
        <stp>localhost</stp>
        <stp>BC</stp>
        <stp>FIELD</stp>
        <stp>WINV22</stp>
        <stp>CNG</stp>
        <tr r="F4" s="6"/>
      </tp>
      <tp t="s">
        <v>#BCONN</v>
        <stp>localhost</stp>
        <stp>BC</stp>
        <stp>FIELD</stp>
        <stp>WDOV22</stp>
        <stp>CNG</stp>
        <tr r="F6" s="7"/>
      </tp>
      <tp t="e">
        <v>#VALUE!</v>
        <stp>localhost</stp>
        <stp>BC</stp>
        <stp>FIELD</stp>
        <stp>WDOV23</stp>
        <stp>CNG</stp>
        <tr r="F22" s="7"/>
      </tp>
      <tp t="s">
        <v>#BCONN</v>
        <stp>localhost</stp>
        <stp>BC</stp>
        <stp>FIELD</stp>
        <stp>WINV22</stp>
        <stp>CAB</stp>
        <tr r="E4" s="6"/>
      </tp>
      <tp t="s">
        <v>#BCONN</v>
        <stp>localhost</stp>
        <stp>BC</stp>
        <stp>FIELD</stp>
        <stp>WINV23</stp>
        <stp>CAB</stp>
        <tr r="E16" s="6"/>
      </tp>
      <tp t="s">
        <v>#BCONN</v>
        <stp>localhost</stp>
        <stp>BC</stp>
        <stp>FIELD</stp>
        <stp>WDOQ22</stp>
        <stp>DAJ</stp>
        <tr r="B3" s="7"/>
      </tp>
      <tp t="s">
        <v>#BCONN</v>
        <stp>localhost</stp>
        <stp>BC</stp>
        <stp>FIELD</stp>
        <stp>WINQ22</stp>
        <stp>DAJ</stp>
        <tr r="B3" s="6"/>
      </tp>
      <tp t="s">
        <v>#BCONN</v>
        <stp>localhost</stp>
        <stp>BC</stp>
        <stp>FIELD</stp>
        <stp>WINQ23</stp>
        <stp>DAJ</stp>
        <tr r="B15" s="6"/>
      </tp>
      <tp t="s">
        <v>#BCONN</v>
        <stp>localhost</stp>
        <stp>BC</stp>
        <stp>FIELD</stp>
        <stp>WINQ24</stp>
        <stp>DAJ</stp>
        <tr r="B27" s="6"/>
      </tp>
      <tp t="e">
        <v>#VALUE!</v>
        <stp>localhost</stp>
        <stp>BC</stp>
        <stp>FIELD</stp>
        <stp>WDOV23</stp>
        <stp>CAB</stp>
        <tr r="E22" s="7"/>
      </tp>
      <tp t="s">
        <v>#BCONN</v>
        <stp>localhost</stp>
        <stp>BC</stp>
        <stp>FIELD</stp>
        <stp>WDOV22</stp>
        <stp>CAB</stp>
        <tr r="E6" s="7"/>
      </tp>
      <tp t="s">
        <v>#BCONN</v>
        <stp>localhost</stp>
        <stp>BC</stp>
        <stp>FIELD</stp>
        <stp>DI1V25</stp>
        <stp>CNG</stp>
        <tr r="F22" s="5"/>
      </tp>
      <tp t="e">
        <v>#VALUE!</v>
        <stp>localhost</stp>
        <stp>BC</stp>
        <stp>FIELD</stp>
        <stp>DOLV23</stp>
        <stp>CNG</stp>
        <tr r="F21" s="7"/>
      </tp>
      <tp t="s">
        <v>#BCONN</v>
        <stp>localhost</stp>
        <stp>BC</stp>
        <stp>FIELD</stp>
        <stp>DI1V24</stp>
        <stp>CNG</stp>
        <tr r="F18" s="5"/>
      </tp>
      <tp t="s">
        <v>#BCONN</v>
        <stp>localhost</stp>
        <stp>BC</stp>
        <stp>FIELD</stp>
        <stp>DOLV22</stp>
        <stp>CNG</stp>
        <tr r="F7" s="7"/>
      </tp>
      <tp t="s">
        <v>#BCONN</v>
        <stp>localhost</stp>
        <stp>BC</stp>
        <stp>FIELD</stp>
        <stp>DI1V26</stp>
        <stp>CNG</stp>
        <tr r="F26" s="5"/>
      </tp>
      <tp t="s">
        <v>#BCONN</v>
        <stp>localhost</stp>
        <stp>BC</stp>
        <stp>FIELD</stp>
        <stp>DI1V23</stp>
        <stp>CNG</stp>
        <tr r="F14" s="5"/>
      </tp>
      <tp t="s">
        <v>#BCONN</v>
        <stp>localhost</stp>
        <stp>BC</stp>
        <stp>FIELD</stp>
        <stp>DI1V22</stp>
        <stp>CNG</stp>
        <tr r="F4" s="5"/>
      </tp>
      <tp t="e">
        <v>#VALUE!</v>
        <stp>localhost</stp>
        <stp>BC</stp>
        <stp>FIELD</stp>
        <stp>DOLV24</stp>
        <stp>CNG</stp>
        <tr r="F27" s="7"/>
      </tp>
      <tp t="s">
        <v>#BCONN</v>
        <stp>localhost</stp>
        <stp>BC</stp>
        <stp>FIELD</stp>
        <stp>DDIV22</stp>
        <stp>CNG</stp>
        <tr r="F4" s="3"/>
      </tp>
      <tp t="s">
        <v>#BCONN</v>
        <stp>localhost</stp>
        <stp>BC</stp>
        <stp>FIELD</stp>
        <stp>DDIV23</stp>
        <stp>CNG</stp>
        <tr r="F14" s="3"/>
      </tp>
      <tp t="s">
        <v>#BCONN</v>
        <stp>localhost</stp>
        <stp>BC</stp>
        <stp>FIELD</stp>
        <stp>DDIV24</stp>
        <stp>CNG</stp>
        <tr r="F18" s="3"/>
      </tp>
      <tp t="s">
        <v>#BCONN</v>
        <stp>localhost</stp>
        <stp>BC</stp>
        <stp>FIELD</stp>
        <stp>DDIV25</stp>
        <stp>CNG</stp>
        <tr r="F22" s="3"/>
      </tp>
      <tp t="s">
        <v>#BCONN</v>
        <stp>localhost</stp>
        <stp>BC</stp>
        <stp>FIELD</stp>
        <stp>DDIV26</stp>
        <stp>CNG</stp>
        <tr r="F26" s="3"/>
      </tp>
      <tp t="s">
        <v>#BCONN</v>
        <stp>localhost</stp>
        <stp>BC</stp>
        <stp>FIELD</stp>
        <stp>INDV23</stp>
        <stp>CAB</stp>
        <tr r="E17" s="6"/>
      </tp>
      <tp t="s">
        <v>#BCONN</v>
        <stp>localhost</stp>
        <stp>BC</stp>
        <stp>FIELD</stp>
        <stp>INDV22</stp>
        <stp>CAB</stp>
        <tr r="E5" s="6"/>
      </tp>
      <tp t="s">
        <v>#BCONN</v>
        <stp>localhost</stp>
        <stp>BC</stp>
        <stp>FIELD</stp>
        <stp>INDQ24</stp>
        <stp>DAJ</stp>
        <tr r="B26" s="6"/>
      </tp>
      <tp t="s">
        <v>#BCONN</v>
        <stp>localhost</stp>
        <stp>BC</stp>
        <stp>FIELD</stp>
        <stp>INDQ23</stp>
        <stp>DAJ</stp>
        <tr r="B14" s="6"/>
      </tp>
      <tp t="s">
        <v>#BCONN</v>
        <stp>localhost</stp>
        <stp>BC</stp>
        <stp>FIELD</stp>
        <stp>INDQ22</stp>
        <stp>DAJ</stp>
        <tr r="B2" s="6"/>
      </tp>
      <tp t="s">
        <v>#BCONN</v>
        <stp>localhost</stp>
        <stp>BC</stp>
        <stp>FIELD</stp>
        <stp>FRCV26</stp>
        <stp>CNG</stp>
        <tr r="F26" s="4"/>
      </tp>
      <tp t="s">
        <v>#BCONN</v>
        <stp>localhost</stp>
        <stp>BC</stp>
        <stp>FIELD</stp>
        <stp>FRCV24</stp>
        <stp>CNG</stp>
        <tr r="F18" s="4"/>
      </tp>
      <tp t="s">
        <v>#BCONN</v>
        <stp>localhost</stp>
        <stp>BC</stp>
        <stp>FIELD</stp>
        <stp>FRCV25</stp>
        <stp>CNG</stp>
        <tr r="F22" s="4"/>
      </tp>
      <tp t="s">
        <v>#BCONN</v>
        <stp>localhost</stp>
        <stp>BC</stp>
        <stp>FIELD</stp>
        <stp>FRCV22</stp>
        <stp>CNG</stp>
        <tr r="F4" s="4"/>
      </tp>
      <tp t="s">
        <v>#BCONN</v>
        <stp>localhost</stp>
        <stp>BC</stp>
        <stp>FIELD</stp>
        <stp>FRCV23</stp>
        <stp>CNG</stp>
        <tr r="F14" s="4"/>
      </tp>
      <tp t="s">
        <v>#BCONN</v>
        <stp>localhost</stp>
        <stp>BC</stp>
        <stp>FIELD</stp>
        <stp>INDV22</stp>
        <stp>CNG</stp>
        <tr r="F5" s="6"/>
      </tp>
      <tp t="s">
        <v>#BCONN</v>
        <stp>localhost</stp>
        <stp>BC</stp>
        <stp>FIELD</stp>
        <stp>INDV23</stp>
        <stp>CNG</stp>
        <tr r="F17" s="6"/>
      </tp>
      <tp t="s">
        <v>#BCONN</v>
        <stp>localhost</stp>
        <stp>BC</stp>
        <stp>FIELD</stp>
        <stp>FRCQ22</stp>
        <stp>DAJ</stp>
        <tr r="B2" s="4"/>
      </tp>
      <tp t="s">
        <v>#BCONN</v>
        <stp>localhost</stp>
        <stp>BC</stp>
        <stp>FIELD</stp>
        <stp>FRCV23</stp>
        <stp>CAB</stp>
        <tr r="E14" s="4"/>
      </tp>
      <tp t="s">
        <v>#BCONN</v>
        <stp>localhost</stp>
        <stp>BC</stp>
        <stp>FIELD</stp>
        <stp>FRCV22</stp>
        <stp>CAB</stp>
        <tr r="E4" s="4"/>
      </tp>
      <tp t="s">
        <v>#BCONN</v>
        <stp>localhost</stp>
        <stp>BC</stp>
        <stp>FIELD</stp>
        <stp>FRCV26</stp>
        <stp>CAB</stp>
        <tr r="E26" s="4"/>
      </tp>
      <tp t="s">
        <v>#BCONN</v>
        <stp>localhost</stp>
        <stp>BC</stp>
        <stp>FIELD</stp>
        <stp>FRCV25</stp>
        <stp>CAB</stp>
        <tr r="E22" s="4"/>
      </tp>
      <tp t="s">
        <v>#BCONN</v>
        <stp>localhost</stp>
        <stp>BC</stp>
        <stp>FIELD</stp>
        <stp>FRCV24</stp>
        <stp>CAB</stp>
        <tr r="E18" s="4"/>
      </tp>
      <tp t="s">
        <v>#BCONN</v>
        <stp>localhost</stp>
        <stp>BC</stp>
        <stp>FIELD</stp>
        <stp>DAPQ30</stp>
        <stp>DAJ</stp>
        <tr r="B12" s="2"/>
      </tp>
      <tp t="s">
        <v>#BCONN</v>
        <stp>localhost</stp>
        <stp>BC</stp>
        <stp>FIELD</stp>
        <stp>DAPQ32</stp>
        <stp>DAJ</stp>
        <tr r="B13" s="2"/>
      </tp>
      <tp t="s">
        <v>#BCONN</v>
        <stp>localhost</stp>
        <stp>BC</stp>
        <stp>FIELD</stp>
        <stp>DI1V22</stp>
        <stp>CAB</stp>
        <tr r="E4" s="5"/>
      </tp>
      <tp t="s">
        <v>#BCONN</v>
        <stp>localhost</stp>
        <stp>BC</stp>
        <stp>FIELD</stp>
        <stp>DAPQ22</stp>
        <stp>DAJ</stp>
        <tr r="B2" s="2"/>
      </tp>
      <tp t="e">
        <v>#VALUE!</v>
        <stp>localhost</stp>
        <stp>BC</stp>
        <stp>FIELD</stp>
        <stp>DOLV24</stp>
        <stp>CAB</stp>
        <tr r="E27" s="7"/>
      </tp>
      <tp t="s">
        <v>#BCONN</v>
        <stp>localhost</stp>
        <stp>BC</stp>
        <stp>FIELD</stp>
        <stp>DI1V23</stp>
        <stp>CAB</stp>
        <tr r="E14" s="5"/>
      </tp>
      <tp t="s">
        <v>#BCONN</v>
        <stp>localhost</stp>
        <stp>BC</stp>
        <stp>FIELD</stp>
        <stp>DI1V24</stp>
        <stp>CAB</stp>
        <tr r="E18" s="5"/>
      </tp>
      <tp t="s">
        <v>#BCONN</v>
        <stp>localhost</stp>
        <stp>BC</stp>
        <stp>FIELD</stp>
        <stp>DAPQ24</stp>
        <stp>DAJ</stp>
        <tr r="B7" s="2"/>
      </tp>
      <tp t="s">
        <v>#BCONN</v>
        <stp>localhost</stp>
        <stp>BC</stp>
        <stp>FIELD</stp>
        <stp>DOLV22</stp>
        <stp>CAB</stp>
        <tr r="E7" s="7"/>
      </tp>
      <tp t="s">
        <v>#BCONN</v>
        <stp>localhost</stp>
        <stp>BC</stp>
        <stp>FIELD</stp>
        <stp>DI1V25</stp>
        <stp>CAB</stp>
        <tr r="E22" s="5"/>
      </tp>
      <tp t="e">
        <v>#VALUE!</v>
        <stp>localhost</stp>
        <stp>BC</stp>
        <stp>FIELD</stp>
        <stp>DOLV23</stp>
        <stp>CAB</stp>
        <tr r="E21" s="7"/>
      </tp>
      <tp t="s">
        <v>#BCONN</v>
        <stp>localhost</stp>
        <stp>BC</stp>
        <stp>FIELD</stp>
        <stp>DI1V26</stp>
        <stp>CAB</stp>
        <tr r="E26" s="5"/>
      </tp>
      <tp t="s">
        <v>#BCONN</v>
        <stp>localhost</stp>
        <stp>BC</stp>
        <stp>FIELD</stp>
        <stp>DAPQ26</stp>
        <stp>DAJ</stp>
        <tr r="B9" s="2"/>
      </tp>
      <tp t="s">
        <v>#BCONN</v>
        <stp>localhost</stp>
        <stp>BC</stp>
        <stp>FIELD</stp>
        <stp>DDIQ22</stp>
        <stp>DAJ</stp>
        <tr r="B2" s="3"/>
      </tp>
      <tp t="s">
        <v>#BCONN</v>
        <stp>localhost</stp>
        <stp>BC</stp>
        <stp>FIELD</stp>
        <stp>DAPQ28</stp>
        <stp>DAJ</stp>
        <tr r="B11" s="2"/>
      </tp>
      <tp t="s">
        <v>#BCONN</v>
        <stp>localhost</stp>
        <stp>BC</stp>
        <stp>FIELD</stp>
        <stp>DDIV25</stp>
        <stp>CAB</stp>
        <tr r="E22" s="3"/>
      </tp>
      <tp t="s">
        <v>#BCONN</v>
        <stp>localhost</stp>
        <stp>BC</stp>
        <stp>FIELD</stp>
        <stp>DDIV24</stp>
        <stp>CAB</stp>
        <tr r="E18" s="3"/>
      </tp>
      <tp t="s">
        <v>#BCONN</v>
        <stp>localhost</stp>
        <stp>BC</stp>
        <stp>FIELD</stp>
        <stp>DI1Q22</stp>
        <stp>DAJ</stp>
        <tr r="B2" s="5"/>
      </tp>
      <tp t="s">
        <v>#BCONN</v>
        <stp>localhost</stp>
        <stp>BC</stp>
        <stp>FIELD</stp>
        <stp>DDIV26</stp>
        <stp>CAB</stp>
        <tr r="E26" s="3"/>
      </tp>
      <tp t="s">
        <v>#BCONN</v>
        <stp>localhost</stp>
        <stp>BC</stp>
        <stp>FIELD</stp>
        <stp>DOLQ22</stp>
        <stp>DAJ</stp>
        <tr r="B2" s="7"/>
      </tp>
      <tp t="s">
        <v>#BCONN</v>
        <stp>localhost</stp>
        <stp>BC</stp>
        <stp>FIELD</stp>
        <stp>DDIV23</stp>
        <stp>CAB</stp>
        <tr r="E14" s="3"/>
      </tp>
      <tp t="s">
        <v>#BCONN</v>
        <stp>localhost</stp>
        <stp>BC</stp>
        <stp>FIELD</stp>
        <stp>DDIV22</stp>
        <stp>CAB</stp>
        <tr r="E4" s="3"/>
      </tp>
      <tp t="s">
        <v>#BCONN</v>
        <stp>localhost</stp>
        <stp>BC</stp>
        <stp>FIELD</stp>
        <stp>DAPQ50</stp>
        <stp>DAJ</stp>
        <tr r="B17" s="2"/>
      </tp>
      <tp t="s">
        <v>#BCONN</v>
        <stp>localhost</stp>
        <stp>BC</stp>
        <stp>FIELD</stp>
        <stp>DAPQ40</stp>
        <stp>DAJ</stp>
        <tr r="B15" s="2"/>
      </tp>
      <tp t="s">
        <v>#BCONN</v>
        <stp>localhost</stp>
        <stp>BC</stp>
        <stp>FIELD</stp>
        <stp>DAPQ60</stp>
        <stp>DAJ</stp>
        <tr r="B19" s="2"/>
      </tp>
      <tp t="s">
        <v>#BCONN</v>
        <stp>localhost</stp>
        <stp>BC</stp>
        <stp>FIELD</stp>
        <stp>WDOU22</stp>
        <stp>CNG</stp>
        <tr r="F5" s="7"/>
      </tp>
      <tp t="s">
        <v>#BCONN</v>
        <stp>localhost</stp>
        <stp>BC</stp>
        <stp>FIELD</stp>
        <stp>WDOU22</stp>
        <stp>CAB</stp>
        <tr r="E5" s="7"/>
      </tp>
      <tp t="s">
        <v>#BCONN</v>
        <stp>localhost</stp>
        <stp>BC</stp>
        <stp>FIELD</stp>
        <stp>WDOX22</stp>
        <stp>NEG</stp>
        <tr r="G9" s="7"/>
      </tp>
      <tp t="s">
        <v>#BCONN</v>
        <stp>localhost</stp>
        <stp>BC</stp>
        <stp>FIELD</stp>
        <stp>DOLU22</stp>
        <stp>CNG</stp>
        <tr r="F4" s="7"/>
      </tp>
      <tp t="s">
        <v>#BCONN</v>
        <stp>localhost</stp>
        <stp>BC</stp>
        <stp>FIELD</stp>
        <stp>DI1U22</stp>
        <stp>CNG</stp>
        <tr r="F3" s="5"/>
      </tp>
      <tp t="s">
        <v>#BCONN</v>
        <stp>localhost</stp>
        <stp>BC</stp>
        <stp>FIELD</stp>
        <stp>DDIU22</stp>
        <stp>CNG</stp>
        <tr r="F3" s="3"/>
      </tp>
      <tp t="s">
        <v>#BCONN</v>
        <stp>localhost</stp>
        <stp>BC</stp>
        <stp>FIELD</stp>
        <stp>DAPU22</stp>
        <stp>CNG</stp>
        <tr r="F3" s="2"/>
      </tp>
      <tp t="s">
        <v>#BCONN</v>
        <stp>localhost</stp>
        <stp>BC</stp>
        <stp>FIELD</stp>
        <stp>FRCU22</stp>
        <stp>CNG</stp>
        <tr r="F3" s="4"/>
      </tp>
      <tp t="s">
        <v>#BCONN</v>
        <stp>localhost</stp>
        <stp>BC</stp>
        <stp>FIELD</stp>
        <stp>FRCU22</stp>
        <stp>CAB</stp>
        <tr r="E3" s="4"/>
      </tp>
      <tp t="s">
        <v>#BCONN</v>
        <stp>localhost</stp>
        <stp>BC</stp>
        <stp>FIELD</stp>
        <stp>DI1U22</stp>
        <stp>CAB</stp>
        <tr r="E3" s="5"/>
      </tp>
      <tp t="s">
        <v>#BCONN</v>
        <stp>localhost</stp>
        <stp>BC</stp>
        <stp>FIELD</stp>
        <stp>DOLU22</stp>
        <stp>CAB</stp>
        <tr r="E4" s="7"/>
      </tp>
      <tp t="s">
        <v>#BCONN</v>
        <stp>localhost</stp>
        <stp>BC</stp>
        <stp>FIELD</stp>
        <stp>DAPU22</stp>
        <stp>CAB</stp>
        <tr r="E3" s="2"/>
      </tp>
      <tp t="s">
        <v>#BCONN</v>
        <stp>localhost</stp>
        <stp>BC</stp>
        <stp>FIELD</stp>
        <stp>DDIU22</stp>
        <stp>CAB</stp>
        <tr r="E3" s="3"/>
      </tp>
      <tp t="s">
        <v>#BCONN</v>
        <stp>localhost</stp>
        <stp>BC</stp>
        <stp>FIELD</stp>
        <stp>FRCX22</stp>
        <stp>NEG</stp>
        <tr r="G5" s="4"/>
      </tp>
      <tp t="s">
        <v>#BCONN</v>
        <stp>localhost</stp>
        <stp>BC</stp>
        <stp>FIELD</stp>
        <stp>DOLX22</stp>
        <stp>NEG</stp>
        <tr r="G8" s="7"/>
      </tp>
      <tp t="s">
        <v>#BCONN</v>
        <stp>localhost</stp>
        <stp>BC</stp>
        <stp>FIELD</stp>
        <stp>DI1X22</stp>
        <stp>NEG</stp>
        <tr r="G5" s="5"/>
      </tp>
      <tp t="s">
        <v>#BCONN</v>
        <stp>localhost</stp>
        <stp>BC</stp>
        <stp>FIELD</stp>
        <stp>DDIX22</stp>
        <stp>NEG</stp>
        <tr r="G5" s="3"/>
      </tp>
      <tp t="s">
        <v>#BCONN</v>
        <stp>localhost</stp>
        <stp>BC</stp>
        <stp>FIELD</stp>
        <stp>WINV23</stp>
        <stp>AJU</stp>
        <tr r="D16" s="6"/>
      </tp>
      <tp t="s">
        <v>#BCONN</v>
        <stp>localhost</stp>
        <stp>BC</stp>
        <stp>FIELD</stp>
        <stp>WINV22</stp>
        <stp>AJU</stp>
        <tr r="D4" s="6"/>
      </tp>
      <tp t="s">
        <v>#BCONN</v>
        <stp>localhost</stp>
        <stp>BC</stp>
        <stp>FIELD</stp>
        <stp>WDOV22</stp>
        <stp>AJU</stp>
        <tr r="D6" s="7"/>
      </tp>
      <tp t="e">
        <v>#VALUE!</v>
        <stp>localhost</stp>
        <stp>BC</stp>
        <stp>FIELD</stp>
        <stp>WDOV23</stp>
        <stp>AJU</stp>
        <tr r="D22" s="7"/>
      </tp>
      <tp t="s">
        <v>#BCONN</v>
        <stp>localhost</stp>
        <stp>BC</stp>
        <stp>FIELD</stp>
        <stp>DI1V26</stp>
        <stp>AJU</stp>
        <tr r="D26" s="5"/>
      </tp>
      <tp t="s">
        <v>#BCONN</v>
        <stp>localhost</stp>
        <stp>BC</stp>
        <stp>FIELD</stp>
        <stp>DI1V25</stp>
        <stp>AJU</stp>
        <tr r="D22" s="5"/>
      </tp>
      <tp t="e">
        <v>#VALUE!</v>
        <stp>localhost</stp>
        <stp>BC</stp>
        <stp>FIELD</stp>
        <stp>DOLV23</stp>
        <stp>AJU</stp>
        <tr r="D21" s="7"/>
      </tp>
      <tp t="s">
        <v>#BCONN</v>
        <stp>localhost</stp>
        <stp>BC</stp>
        <stp>FIELD</stp>
        <stp>DI1V24</stp>
        <stp>AJU</stp>
        <tr r="D18" s="5"/>
      </tp>
      <tp t="s">
        <v>#BCONN</v>
        <stp>localhost</stp>
        <stp>BC</stp>
        <stp>FIELD</stp>
        <stp>DOLV22</stp>
        <stp>AJU</stp>
        <tr r="D7" s="7"/>
      </tp>
      <tp t="s">
        <v>#BCONN</v>
        <stp>localhost</stp>
        <stp>BC</stp>
        <stp>FIELD</stp>
        <stp>DI1V23</stp>
        <stp>AJU</stp>
        <tr r="D14" s="5"/>
      </tp>
      <tp t="s">
        <v>#BCONN</v>
        <stp>localhost</stp>
        <stp>BC</stp>
        <stp>FIELD</stp>
        <stp>DI1V22</stp>
        <stp>AJU</stp>
        <tr r="D4" s="5"/>
      </tp>
      <tp t="e">
        <v>#VALUE!</v>
        <stp>localhost</stp>
        <stp>BC</stp>
        <stp>FIELD</stp>
        <stp>DOLV24</stp>
        <stp>AJU</stp>
        <tr r="D27" s="7"/>
      </tp>
      <tp t="s">
        <v>#BCONN</v>
        <stp>localhost</stp>
        <stp>BC</stp>
        <stp>FIELD</stp>
        <stp>DDIV22</stp>
        <stp>AJU</stp>
        <tr r="D4" s="3"/>
      </tp>
      <tp t="s">
        <v>#BCONN</v>
        <stp>localhost</stp>
        <stp>BC</stp>
        <stp>FIELD</stp>
        <stp>DDIV23</stp>
        <stp>AJU</stp>
        <tr r="D14" s="3"/>
      </tp>
      <tp t="s">
        <v>#BCONN</v>
        <stp>localhost</stp>
        <stp>BC</stp>
        <stp>FIELD</stp>
        <stp>DDIV26</stp>
        <stp>AJU</stp>
        <tr r="D26" s="3"/>
      </tp>
      <tp t="s">
        <v>#BCONN</v>
        <stp>localhost</stp>
        <stp>BC</stp>
        <stp>FIELD</stp>
        <stp>DDIV24</stp>
        <stp>AJU</stp>
        <tr r="D18" s="3"/>
      </tp>
      <tp t="s">
        <v>#BCONN</v>
        <stp>localhost</stp>
        <stp>BC</stp>
        <stp>FIELD</stp>
        <stp>DDIV25</stp>
        <stp>AJU</stp>
        <tr r="D22" s="3"/>
      </tp>
      <tp t="s">
        <v>#BCONN</v>
        <stp>localhost</stp>
        <stp>BC</stp>
        <stp>FIELD</stp>
        <stp>FRCV24</stp>
        <stp>AJU</stp>
        <tr r="D18" s="4"/>
      </tp>
      <tp t="s">
        <v>#BCONN</v>
        <stp>localhost</stp>
        <stp>BC</stp>
        <stp>FIELD</stp>
        <stp>FRCV25</stp>
        <stp>AJU</stp>
        <tr r="D22" s="4"/>
      </tp>
      <tp t="s">
        <v>#BCONN</v>
        <stp>localhost</stp>
        <stp>BC</stp>
        <stp>FIELD</stp>
        <stp>FRCV26</stp>
        <stp>AJU</stp>
        <tr r="D26" s="4"/>
      </tp>
      <tp t="s">
        <v>#BCONN</v>
        <stp>localhost</stp>
        <stp>BC</stp>
        <stp>FIELD</stp>
        <stp>FRCV22</stp>
        <stp>AJU</stp>
        <tr r="D4" s="4"/>
      </tp>
      <tp t="s">
        <v>#BCONN</v>
        <stp>localhost</stp>
        <stp>BC</stp>
        <stp>FIELD</stp>
        <stp>FRCV23</stp>
        <stp>AJU</stp>
        <tr r="D14" s="4"/>
      </tp>
      <tp t="s">
        <v>#BCONN</v>
        <stp>localhost</stp>
        <stp>BC</stp>
        <stp>FIELD</stp>
        <stp>INDV22</stp>
        <stp>AJU</stp>
        <tr r="D5" s="6"/>
      </tp>
      <tp t="s">
        <v>#BCONN</v>
        <stp>localhost</stp>
        <stp>BC</stp>
        <stp>FIELD</stp>
        <stp>INDV23</stp>
        <stp>AJU</stp>
        <tr r="D17" s="6"/>
      </tp>
      <tp t="s">
        <v>#BCONN</v>
        <stp>localhost</stp>
        <stp>BC</stp>
        <stp>FIELD</stp>
        <stp>WINQ24</stp>
        <stp>AJU</stp>
        <tr r="D27" s="6"/>
      </tp>
      <tp t="s">
        <v>#BCONN</v>
        <stp>localhost</stp>
        <stp>BC</stp>
        <stp>FIELD</stp>
        <stp>WINQ23</stp>
        <stp>AJU</stp>
        <tr r="D15" s="6"/>
      </tp>
      <tp t="s">
        <v>#BCONN</v>
        <stp>localhost</stp>
        <stp>BC</stp>
        <stp>FIELD</stp>
        <stp>WINQ22</stp>
        <stp>AJU</stp>
        <tr r="D3" s="6"/>
      </tp>
      <tp t="s">
        <v>#BCONN</v>
        <stp>localhost</stp>
        <stp>BC</stp>
        <stp>FIELD</stp>
        <stp>WDOQ22</stp>
        <stp>AJU</stp>
        <tr r="D3" s="7"/>
      </tp>
      <tp t="s">
        <v>#BCONN</v>
        <stp>localhost</stp>
        <stp>BC</stp>
        <stp>FIELD</stp>
        <stp>DOLQ22</stp>
        <stp>AJU</stp>
        <tr r="D2" s="7"/>
      </tp>
      <tp t="s">
        <v>#BCONN</v>
        <stp>localhost</stp>
        <stp>BC</stp>
        <stp>FIELD</stp>
        <stp>DI1Q22</stp>
        <stp>AJU</stp>
        <tr r="D2" s="5"/>
      </tp>
      <tp t="s">
        <v>#BCONN</v>
        <stp>localhost</stp>
        <stp>BC</stp>
        <stp>FIELD</stp>
        <stp>DAPQ28</stp>
        <stp>AJU</stp>
        <tr r="D11" s="2"/>
      </tp>
      <tp t="s">
        <v>#BCONN</v>
        <stp>localhost</stp>
        <stp>BC</stp>
        <stp>FIELD</stp>
        <stp>DDIQ22</stp>
        <stp>AJU</stp>
        <tr r="D2" s="3"/>
      </tp>
      <tp t="s">
        <v>#BCONN</v>
        <stp>localhost</stp>
        <stp>BC</stp>
        <stp>FIELD</stp>
        <stp>DAPQ26</stp>
        <stp>AJU</stp>
        <tr r="D9" s="2"/>
      </tp>
      <tp t="s">
        <v>#BCONN</v>
        <stp>localhost</stp>
        <stp>BC</stp>
        <stp>FIELD</stp>
        <stp>DAPQ24</stp>
        <stp>AJU</stp>
        <tr r="D7" s="2"/>
      </tp>
      <tp t="s">
        <v>#BCONN</v>
        <stp>localhost</stp>
        <stp>BC</stp>
        <stp>FIELD</stp>
        <stp>DAPQ22</stp>
        <stp>AJU</stp>
        <tr r="D2" s="2"/>
      </tp>
      <tp t="s">
        <v>#BCONN</v>
        <stp>localhost</stp>
        <stp>BC</stp>
        <stp>FIELD</stp>
        <stp>DAPQ32</stp>
        <stp>AJU</stp>
        <tr r="D13" s="2"/>
      </tp>
      <tp t="s">
        <v>#BCONN</v>
        <stp>localhost</stp>
        <stp>BC</stp>
        <stp>FIELD</stp>
        <stp>DAPQ30</stp>
        <stp>AJU</stp>
        <tr r="D12" s="2"/>
      </tp>
      <tp t="s">
        <v>#BCONN</v>
        <stp>localhost</stp>
        <stp>BC</stp>
        <stp>FIELD</stp>
        <stp>FRCQ22</stp>
        <stp>AJU</stp>
        <tr r="D2" s="4"/>
      </tp>
      <tp t="s">
        <v>#BCONN</v>
        <stp>localhost</stp>
        <stp>BC</stp>
        <stp>FIELD</stp>
        <stp>DAPQ60</stp>
        <stp>AJU</stp>
        <tr r="D19" s="2"/>
      </tp>
      <tp t="s">
        <v>#BCONN</v>
        <stp>localhost</stp>
        <stp>BC</stp>
        <stp>FIELD</stp>
        <stp>DAPQ40</stp>
        <stp>AJU</stp>
        <tr r="D15" s="2"/>
      </tp>
      <tp t="s">
        <v>#BCONN</v>
        <stp>localhost</stp>
        <stp>BC</stp>
        <stp>FIELD</stp>
        <stp>DAPQ50</stp>
        <stp>AJU</stp>
        <tr r="D17" s="2"/>
      </tp>
      <tp t="s">
        <v>#BCONN</v>
        <stp>localhost</stp>
        <stp>BC</stp>
        <stp>FIELD</stp>
        <stp>INDQ22</stp>
        <stp>AJU</stp>
        <tr r="D2" s="6"/>
      </tp>
      <tp t="s">
        <v>#BCONN</v>
        <stp>localhost</stp>
        <stp>BC</stp>
        <stp>FIELD</stp>
        <stp>INDQ23</stp>
        <stp>AJU</stp>
        <tr r="D14" s="6"/>
      </tp>
      <tp t="s">
        <v>#BCONN</v>
        <stp>localhost</stp>
        <stp>BC</stp>
        <stp>FIELD</stp>
        <stp>INDQ24</stp>
        <stp>AJU</stp>
        <tr r="D26" s="6"/>
      </tp>
      <tp t="s">
        <v>#BCONN</v>
        <stp>localhost</stp>
        <stp>BC</stp>
        <stp>FIELD</stp>
        <stp>WDOU22</stp>
        <stp>DAJ</stp>
        <tr r="B5" s="7"/>
      </tp>
      <tp t="s">
        <v>#BCONN</v>
        <stp>localhost</stp>
        <stp>BC</stp>
        <stp>FIELD</stp>
        <stp>FRCU22</stp>
        <stp>DAJ</stp>
        <tr r="B3" s="4"/>
      </tp>
      <tp t="s">
        <v>#BCONN</v>
        <stp>localhost</stp>
        <stp>BC</stp>
        <stp>FIELD</stp>
        <stp>DAPU22</stp>
        <stp>DAJ</stp>
        <tr r="B3" s="2"/>
      </tp>
      <tp t="s">
        <v>#BCONN</v>
        <stp>localhost</stp>
        <stp>BC</stp>
        <stp>FIELD</stp>
        <stp>DDIU22</stp>
        <stp>DAJ</stp>
        <tr r="B3" s="3"/>
      </tp>
      <tp t="s">
        <v>#BCONN</v>
        <stp>localhost</stp>
        <stp>BC</stp>
        <stp>FIELD</stp>
        <stp>DI1U22</stp>
        <stp>DAJ</stp>
        <tr r="B3" s="5"/>
      </tp>
      <tp t="s">
        <v>#BCONN</v>
        <stp>localhost</stp>
        <stp>BC</stp>
        <stp>FIELD</stp>
        <stp>DOLU22</stp>
        <stp>DAJ</stp>
        <tr r="B4" s="7"/>
      </tp>
      <tp t="s">
        <v>#BCONN</v>
        <stp>localhost</stp>
        <stp>BC</stp>
        <stp>FIELD</stp>
        <stp>WINQ24</stp>
        <stp>CNG</stp>
        <tr r="F27" s="6"/>
      </tp>
      <tp t="s">
        <v>#BCONN</v>
        <stp>localhost</stp>
        <stp>BC</stp>
        <stp>FIELD</stp>
        <stp>WINQ23</stp>
        <stp>CNG</stp>
        <tr r="F15" s="6"/>
      </tp>
      <tp t="s">
        <v>#BCONN</v>
        <stp>localhost</stp>
        <stp>BC</stp>
        <stp>FIELD</stp>
        <stp>WINQ22</stp>
        <stp>CNG</stp>
        <tr r="F3" s="6"/>
      </tp>
      <tp t="s">
        <v>#BCONN</v>
        <stp>localhost</stp>
        <stp>BC</stp>
        <stp>FIELD</stp>
        <stp>WDOQ22</stp>
        <stp>CNG</stp>
        <tr r="F3" s="7"/>
      </tp>
      <tp t="s">
        <v>#BCONN</v>
        <stp>localhost</stp>
        <stp>BC</stp>
        <stp>FIELD</stp>
        <stp>WINQ22</stp>
        <stp>CAB</stp>
        <tr r="E3" s="6"/>
      </tp>
      <tp t="s">
        <v>#BCONN</v>
        <stp>localhost</stp>
        <stp>BC</stp>
        <stp>FIELD</stp>
        <stp>WINQ23</stp>
        <stp>CAB</stp>
        <tr r="E15" s="6"/>
      </tp>
      <tp t="s">
        <v>#BCONN</v>
        <stp>localhost</stp>
        <stp>BC</stp>
        <stp>FIELD</stp>
        <stp>WINQ24</stp>
        <stp>CAB</stp>
        <tr r="E27" s="6"/>
      </tp>
      <tp t="e">
        <v>#VALUE!</v>
        <stp>localhost</stp>
        <stp>BC</stp>
        <stp>FIELD</stp>
        <stp>WDOV23</stp>
        <stp>DAJ</stp>
        <tr r="B22" s="7"/>
      </tp>
      <tp t="s">
        <v>#BCONN</v>
        <stp>localhost</stp>
        <stp>BC</stp>
        <stp>FIELD</stp>
        <stp>WDOV22</stp>
        <stp>DAJ</stp>
        <tr r="B6" s="7"/>
      </tp>
      <tp t="s">
        <v>#BCONN</v>
        <stp>localhost</stp>
        <stp>BC</stp>
        <stp>FIELD</stp>
        <stp>WINV22</stp>
        <stp>DAJ</stp>
        <tr r="B4" s="6"/>
      </tp>
      <tp t="s">
        <v>#BCONN</v>
        <stp>localhost</stp>
        <stp>BC</stp>
        <stp>FIELD</stp>
        <stp>WINV23</stp>
        <stp>DAJ</stp>
        <tr r="B16" s="6"/>
      </tp>
      <tp t="s">
        <v>#BCONN</v>
        <stp>localhost</stp>
        <stp>BC</stp>
        <stp>FIELD</stp>
        <stp>WDOQ22</stp>
        <stp>CAB</stp>
        <tr r="E3" s="7"/>
      </tp>
      <tp t="s">
        <v>#BCONN</v>
        <stp>localhost</stp>
        <stp>BC</stp>
        <stp>FIELD</stp>
        <stp>DAPQ60</stp>
        <stp>CNG</stp>
        <tr r="F19" s="2"/>
      </tp>
      <tp t="s">
        <v>#BCONN</v>
        <stp>localhost</stp>
        <stp>BC</stp>
        <stp>FIELD</stp>
        <stp>DAPQ40</stp>
        <stp>CNG</stp>
        <tr r="F15" s="2"/>
      </tp>
      <tp t="s">
        <v>#BCONN</v>
        <stp>localhost</stp>
        <stp>BC</stp>
        <stp>FIELD</stp>
        <stp>DAPQ50</stp>
        <stp>CNG</stp>
        <tr r="F17" s="2"/>
      </tp>
      <tp t="s">
        <v>#BCONN</v>
        <stp>localhost</stp>
        <stp>BC</stp>
        <stp>FIELD</stp>
        <stp>DOLQ22</stp>
        <stp>CNG</stp>
        <tr r="F2" s="7"/>
      </tp>
      <tp t="s">
        <v>#BCONN</v>
        <stp>localhost</stp>
        <stp>BC</stp>
        <stp>FIELD</stp>
        <stp>DAPQ28</stp>
        <stp>CNG</stp>
        <tr r="F11" s="2"/>
      </tp>
      <tp t="s">
        <v>#BCONN</v>
        <stp>localhost</stp>
        <stp>BC</stp>
        <stp>FIELD</stp>
        <stp>DI1Q22</stp>
        <stp>CNG</stp>
        <tr r="F2" s="5"/>
      </tp>
      <tp t="s">
        <v>#BCONN</v>
        <stp>localhost</stp>
        <stp>BC</stp>
        <stp>FIELD</stp>
        <stp>DAPQ24</stp>
        <stp>CNG</stp>
        <tr r="F7" s="2"/>
      </tp>
      <tp t="s">
        <v>#BCONN</v>
        <stp>localhost</stp>
        <stp>BC</stp>
        <stp>FIELD</stp>
        <stp>DDIQ22</stp>
        <stp>CNG</stp>
        <tr r="F2" s="3"/>
      </tp>
      <tp t="s">
        <v>#BCONN</v>
        <stp>localhost</stp>
        <stp>BC</stp>
        <stp>FIELD</stp>
        <stp>DAPQ26</stp>
        <stp>CNG</stp>
        <tr r="F9" s="2"/>
      </tp>
      <tp t="s">
        <v>#BCONN</v>
        <stp>localhost</stp>
        <stp>BC</stp>
        <stp>FIELD</stp>
        <stp>DAPQ22</stp>
        <stp>CNG</stp>
        <tr r="F2" s="2"/>
      </tp>
      <tp t="s">
        <v>#BCONN</v>
        <stp>localhost</stp>
        <stp>BC</stp>
        <stp>FIELD</stp>
        <stp>DAPQ30</stp>
        <stp>CNG</stp>
        <tr r="F12" s="2"/>
      </tp>
      <tp t="s">
        <v>#BCONN</v>
        <stp>localhost</stp>
        <stp>BC</stp>
        <stp>FIELD</stp>
        <stp>DAPQ32</stp>
        <stp>CNG</stp>
        <tr r="F13" s="2"/>
      </tp>
      <tp t="s">
        <v>#BCONN</v>
        <stp>localhost</stp>
        <stp>BC</stp>
        <stp>FIELD</stp>
        <stp>INDQ24</stp>
        <stp>CAB</stp>
        <tr r="E26" s="6"/>
      </tp>
      <tp t="s">
        <v>#BCONN</v>
        <stp>localhost</stp>
        <stp>BC</stp>
        <stp>FIELD</stp>
        <stp>INDQ23</stp>
        <stp>CAB</stp>
        <tr r="E14" s="6"/>
      </tp>
      <tp t="s">
        <v>#BCONN</v>
        <stp>localhost</stp>
        <stp>BC</stp>
        <stp>FIELD</stp>
        <stp>INDQ22</stp>
        <stp>CAB</stp>
        <tr r="E2" s="6"/>
      </tp>
      <tp t="s">
        <v>#BCONN</v>
        <stp>localhost</stp>
        <stp>BC</stp>
        <stp>FIELD</stp>
        <stp>INDV23</stp>
        <stp>DAJ</stp>
        <tr r="B17" s="6"/>
      </tp>
      <tp t="s">
        <v>#BCONN</v>
        <stp>localhost</stp>
        <stp>BC</stp>
        <stp>FIELD</stp>
        <stp>INDV22</stp>
        <stp>DAJ</stp>
        <tr r="B5" s="6"/>
      </tp>
      <tp t="s">
        <v>#BCONN</v>
        <stp>localhost</stp>
        <stp>BC</stp>
        <stp>FIELD</stp>
        <stp>FRCQ22</stp>
        <stp>CNG</stp>
        <tr r="F2" s="4"/>
      </tp>
      <tp t="s">
        <v>#BCONN</v>
        <stp>localhost</stp>
        <stp>BC</stp>
        <stp>FIELD</stp>
        <stp>INDQ22</stp>
        <stp>CNG</stp>
        <tr r="F2" s="6"/>
      </tp>
      <tp t="s">
        <v>#BCONN</v>
        <stp>localhost</stp>
        <stp>BC</stp>
        <stp>FIELD</stp>
        <stp>INDQ23</stp>
        <stp>CNG</stp>
        <tr r="F14" s="6"/>
      </tp>
      <tp t="s">
        <v>#BCONN</v>
        <stp>localhost</stp>
        <stp>BC</stp>
        <stp>FIELD</stp>
        <stp>INDQ24</stp>
        <stp>CNG</stp>
        <tr r="F26" s="6"/>
      </tp>
      <tp t="s">
        <v>#BCONN</v>
        <stp>localhost</stp>
        <stp>BC</stp>
        <stp>FIELD</stp>
        <stp>FRCV23</stp>
        <stp>DAJ</stp>
        <tr r="B14" s="4"/>
      </tp>
      <tp t="s">
        <v>#BCONN</v>
        <stp>localhost</stp>
        <stp>BC</stp>
        <stp>FIELD</stp>
        <stp>FRCV22</stp>
        <stp>DAJ</stp>
        <tr r="B4" s="4"/>
      </tp>
      <tp t="s">
        <v>#BCONN</v>
        <stp>localhost</stp>
        <stp>BC</stp>
        <stp>FIELD</stp>
        <stp>FRCV26</stp>
        <stp>DAJ</stp>
        <tr r="B26" s="4"/>
      </tp>
      <tp t="s">
        <v>#BCONN</v>
        <stp>localhost</stp>
        <stp>BC</stp>
        <stp>FIELD</stp>
        <stp>FRCV25</stp>
        <stp>DAJ</stp>
        <tr r="B22" s="4"/>
      </tp>
      <tp t="s">
        <v>#BCONN</v>
        <stp>localhost</stp>
        <stp>BC</stp>
        <stp>FIELD</stp>
        <stp>FRCV24</stp>
        <stp>DAJ</stp>
        <tr r="B18" s="4"/>
      </tp>
      <tp t="s">
        <v>#BCONN</v>
        <stp>localhost</stp>
        <stp>BC</stp>
        <stp>FIELD</stp>
        <stp>FRCQ22</stp>
        <stp>CAB</stp>
        <tr r="E2" s="4"/>
      </tp>
      <tp t="s">
        <v>#BCONN</v>
        <stp>localhost</stp>
        <stp>BC</stp>
        <stp>FIELD</stp>
        <stp>DAPQ30</stp>
        <stp>CAB</stp>
        <tr r="E12" s="2"/>
      </tp>
      <tp t="s">
        <v>#BCONN</v>
        <stp>localhost</stp>
        <stp>BC</stp>
        <stp>FIELD</stp>
        <stp>DAPQ32</stp>
        <stp>CAB</stp>
        <tr r="E13" s="2"/>
      </tp>
      <tp t="s">
        <v>#BCONN</v>
        <stp>localhost</stp>
        <stp>BC</stp>
        <stp>FIELD</stp>
        <stp>DAPQ28</stp>
        <stp>CAB</stp>
        <tr r="E11" s="2"/>
      </tp>
      <tp t="s">
        <v>#BCONN</v>
        <stp>localhost</stp>
        <stp>BC</stp>
        <stp>FIELD</stp>
        <stp>DDIV25</stp>
        <stp>DAJ</stp>
        <tr r="B22" s="3"/>
      </tp>
      <tp t="s">
        <v>#BCONN</v>
        <stp>localhost</stp>
        <stp>BC</stp>
        <stp>FIELD</stp>
        <stp>DDIV24</stp>
        <stp>DAJ</stp>
        <tr r="B18" s="3"/>
      </tp>
      <tp t="s">
        <v>#BCONN</v>
        <stp>localhost</stp>
        <stp>BC</stp>
        <stp>FIELD</stp>
        <stp>DI1Q22</stp>
        <stp>CAB</stp>
        <tr r="E2" s="5"/>
      </tp>
      <tp t="s">
        <v>#BCONN</v>
        <stp>localhost</stp>
        <stp>BC</stp>
        <stp>FIELD</stp>
        <stp>DDIV26</stp>
        <stp>DAJ</stp>
        <tr r="B26" s="3"/>
      </tp>
      <tp t="s">
        <v>#BCONN</v>
        <stp>localhost</stp>
        <stp>BC</stp>
        <stp>FIELD</stp>
        <stp>DOLQ22</stp>
        <stp>CAB</stp>
        <tr r="E2" s="7"/>
      </tp>
      <tp t="s">
        <v>#BCONN</v>
        <stp>localhost</stp>
        <stp>BC</stp>
        <stp>FIELD</stp>
        <stp>DDIV23</stp>
        <stp>DAJ</stp>
        <tr r="B14" s="3"/>
      </tp>
      <tp t="s">
        <v>#BCONN</v>
        <stp>localhost</stp>
        <stp>BC</stp>
        <stp>FIELD</stp>
        <stp>DDIV22</stp>
        <stp>DAJ</stp>
        <tr r="B4" s="3"/>
      </tp>
      <tp t="s">
        <v>#BCONN</v>
        <stp>localhost</stp>
        <stp>BC</stp>
        <stp>FIELD</stp>
        <stp>DI1V22</stp>
        <stp>DAJ</stp>
        <tr r="B4" s="5"/>
      </tp>
      <tp t="s">
        <v>#BCONN</v>
        <stp>localhost</stp>
        <stp>BC</stp>
        <stp>FIELD</stp>
        <stp>DAPQ22</stp>
        <stp>CAB</stp>
        <tr r="E2" s="2"/>
      </tp>
      <tp t="e">
        <v>#VALUE!</v>
        <stp>localhost</stp>
        <stp>BC</stp>
        <stp>FIELD</stp>
        <stp>DOLV24</stp>
        <stp>DAJ</stp>
        <tr r="B27" s="7"/>
      </tp>
      <tp t="s">
        <v>#BCONN</v>
        <stp>localhost</stp>
        <stp>BC</stp>
        <stp>FIELD</stp>
        <stp>DI1V23</stp>
        <stp>DAJ</stp>
        <tr r="B14" s="5"/>
      </tp>
      <tp t="s">
        <v>#BCONN</v>
        <stp>localhost</stp>
        <stp>BC</stp>
        <stp>FIELD</stp>
        <stp>DI1V24</stp>
        <stp>DAJ</stp>
        <tr r="B18" s="5"/>
      </tp>
      <tp t="s">
        <v>#BCONN</v>
        <stp>localhost</stp>
        <stp>BC</stp>
        <stp>FIELD</stp>
        <stp>DAPQ24</stp>
        <stp>CAB</stp>
        <tr r="E7" s="2"/>
      </tp>
      <tp t="s">
        <v>#BCONN</v>
        <stp>localhost</stp>
        <stp>BC</stp>
        <stp>FIELD</stp>
        <stp>DOLV22</stp>
        <stp>DAJ</stp>
        <tr r="B7" s="7"/>
      </tp>
      <tp t="s">
        <v>#BCONN</v>
        <stp>localhost</stp>
        <stp>BC</stp>
        <stp>FIELD</stp>
        <stp>DI1V25</stp>
        <stp>DAJ</stp>
        <tr r="B22" s="5"/>
      </tp>
      <tp t="e">
        <v>#VALUE!</v>
        <stp>localhost</stp>
        <stp>BC</stp>
        <stp>FIELD</stp>
        <stp>DOLV23</stp>
        <stp>DAJ</stp>
        <tr r="B21" s="7"/>
      </tp>
      <tp t="s">
        <v>#BCONN</v>
        <stp>localhost</stp>
        <stp>BC</stp>
        <stp>FIELD</stp>
        <stp>DI1V26</stp>
        <stp>DAJ</stp>
        <tr r="B26" s="5"/>
      </tp>
      <tp t="s">
        <v>#BCONN</v>
        <stp>localhost</stp>
        <stp>BC</stp>
        <stp>FIELD</stp>
        <stp>DAPQ26</stp>
        <stp>CAB</stp>
        <tr r="E9" s="2"/>
      </tp>
      <tp t="s">
        <v>#BCONN</v>
        <stp>localhost</stp>
        <stp>BC</stp>
        <stp>FIELD</stp>
        <stp>DDIQ22</stp>
        <stp>CAB</stp>
        <tr r="E2" s="3"/>
      </tp>
      <tp t="s">
        <v>#BCONN</v>
        <stp>localhost</stp>
        <stp>BC</stp>
        <stp>FIELD</stp>
        <stp>DAPQ50</stp>
        <stp>CAB</stp>
        <tr r="E17" s="2"/>
      </tp>
      <tp t="s">
        <v>#BCONN</v>
        <stp>localhost</stp>
        <stp>BC</stp>
        <stp>FIELD</stp>
        <stp>DAPQ40</stp>
        <stp>CAB</stp>
        <tr r="E15" s="2"/>
      </tp>
      <tp t="s">
        <v>#BCONN</v>
        <stp>localhost</stp>
        <stp>BC</stp>
        <stp>FIELD</stp>
        <stp>DAPQ60</stp>
        <stp>CAB</stp>
        <tr r="E19" s="2"/>
      </tp>
      <tp t="s">
        <v>#BCONN</v>
        <stp>localhost</stp>
        <stp>BC</stp>
        <stp>FIELD</stp>
        <stp>DR1@1</stp>
        <stp>NEG</stp>
        <tr r="E3" s="9"/>
      </tp>
      <tp t="s">
        <v>#BCONN</v>
        <stp>localhost</stp>
        <stp>BC</stp>
        <stp>FIELD</stp>
        <stp>DR1@0</stp>
        <stp>NEG</stp>
        <tr r="E2" s="9"/>
      </tp>
      <tp t="s">
        <v>#BCONN</v>
        <stp>localhost</stp>
        <stp>BC</stp>
        <stp>FIELD</stp>
        <stp>WDOX22</stp>
        <stp>DAJ</stp>
        <tr r="B9" s="7"/>
      </tp>
      <tp t="s">
        <v>#BCONN</v>
        <stp>localhost</stp>
        <stp>BC</stp>
        <stp>FIELD</stp>
        <stp>FRCX22</stp>
        <stp>DAJ</stp>
        <tr r="B5" s="4"/>
      </tp>
      <tp t="s">
        <v>#BCONN</v>
        <stp>localhost</stp>
        <stp>BC</stp>
        <stp>FIELD</stp>
        <stp>DDIX22</stp>
        <stp>DAJ</stp>
        <tr r="B5" s="3"/>
      </tp>
      <tp t="s">
        <v>#BCONN</v>
        <stp>localhost</stp>
        <stp>BC</stp>
        <stp>FIELD</stp>
        <stp>DI1X22</stp>
        <stp>DAJ</stp>
        <tr r="B5" s="5"/>
      </tp>
      <tp t="s">
        <v>#BCONN</v>
        <stp>localhost</stp>
        <stp>BC</stp>
        <stp>FIELD</stp>
        <stp>DOLX22</stp>
        <stp>DAJ</stp>
        <tr r="B8" s="7"/>
      </tp>
      <tp t="s">
        <v>#BCONN</v>
        <stp>localhost</stp>
        <stp>BC</stp>
        <stp>FIELD</stp>
        <stp>WDOZ22</stp>
        <stp>DAJ</stp>
        <tr r="B10" s="7"/>
      </tp>
      <tp t="s">
        <v>#BCONN</v>
        <stp>localhost</stp>
        <stp>BC</stp>
        <stp>FIELD</stp>
        <stp>WINZ22</stp>
        <stp>DAJ</stp>
        <tr r="B7" s="6"/>
      </tp>
      <tp t="s">
        <v>#BCONN</v>
        <stp>localhost</stp>
        <stp>BC</stp>
        <stp>FIELD</stp>
        <stp>WINZ23</stp>
        <stp>DAJ</stp>
        <tr r="B19" s="6"/>
      </tp>
      <tp t="s">
        <v>#BCONN</v>
        <stp>localhost</stp>
        <stp>BC</stp>
        <stp>FIELD</stp>
        <stp>INDZ23</stp>
        <stp>DAJ</stp>
        <tr r="B18" s="6"/>
      </tp>
      <tp t="s">
        <v>#BCONN</v>
        <stp>localhost</stp>
        <stp>BC</stp>
        <stp>FIELD</stp>
        <stp>INDZ22</stp>
        <stp>DAJ</stp>
        <tr r="B6" s="6"/>
      </tp>
      <tp t="s">
        <v>#BCONN</v>
        <stp>localhost</stp>
        <stp>BC</stp>
        <stp>FIELD</stp>
        <stp>FRCZ22</stp>
        <stp>DAJ</stp>
        <tr r="B6" s="4"/>
      </tp>
      <tp t="s">
        <v>#BCONN</v>
        <stp>localhost</stp>
        <stp>BC</stp>
        <stp>FIELD</stp>
        <stp>DDIZ22</stp>
        <stp>DAJ</stp>
        <tr r="B6" s="3"/>
      </tp>
      <tp t="s">
        <v>#BCONN</v>
        <stp>localhost</stp>
        <stp>BC</stp>
        <stp>FIELD</stp>
        <stp>DI1Z22</stp>
        <stp>DAJ</stp>
        <tr r="B6" s="5"/>
      </tp>
      <tp t="s">
        <v>#BCONN</v>
        <stp>localhost</stp>
        <stp>BC</stp>
        <stp>FIELD</stp>
        <stp>DOLZ22</stp>
        <stp>DAJ</stp>
        <tr r="B11" s="7"/>
      </tp>
      <tp t="s">
        <v>#BCONN</v>
        <stp>localhost</stp>
        <stp>BC</stp>
        <stp>FIELD</stp>
        <stp>DR1@1</stp>
        <stp>CNG</stp>
        <tr r="D3" s="9"/>
      </tp>
      <tp t="s">
        <v>#BCONN</v>
        <stp>localhost</stp>
        <stp>BC</stp>
        <stp>FIELD</stp>
        <stp>DR1@0</stp>
        <stp>CNG</stp>
        <tr r="D2" s="9"/>
      </tp>
      <tp t="s">
        <v>#BCONN</v>
        <stp>localhost</stp>
        <stp>BC</stp>
        <stp>FIELD</stp>
        <stp>WINQ24</stp>
        <stp>NEG</stp>
        <tr r="G27" s="6"/>
      </tp>
      <tp t="s">
        <v>#BCONN</v>
        <stp>localhost</stp>
        <stp>BC</stp>
        <stp>FIELD</stp>
        <stp>WINQ23</stp>
        <stp>NEG</stp>
        <tr r="G15" s="6"/>
      </tp>
      <tp t="s">
        <v>#BCONN</v>
        <stp>localhost</stp>
        <stp>BC</stp>
        <stp>FIELD</stp>
        <stp>WINQ22</stp>
        <stp>NEG</stp>
        <tr r="G3" s="6"/>
      </tp>
      <tp t="s">
        <v>#BCONN</v>
        <stp>localhost</stp>
        <stp>BC</stp>
        <stp>FIELD</stp>
        <stp>WDOQ22</stp>
        <stp>NEG</stp>
        <tr r="G3" s="7"/>
      </tp>
      <tp t="s">
        <v>#BCONN</v>
        <stp>localhost</stp>
        <stp>BC</stp>
        <stp>FIELD</stp>
        <stp>INDQ22</stp>
        <stp>NEG</stp>
        <tr r="G2" s="6"/>
      </tp>
      <tp t="s">
        <v>#BCONN</v>
        <stp>localhost</stp>
        <stp>BC</stp>
        <stp>FIELD</stp>
        <stp>INDQ23</stp>
        <stp>NEG</stp>
        <tr r="G14" s="6"/>
      </tp>
      <tp t="s">
        <v>#BCONN</v>
        <stp>localhost</stp>
        <stp>BC</stp>
        <stp>FIELD</stp>
        <stp>INDQ24</stp>
        <stp>NEG</stp>
        <tr r="G26" s="6"/>
      </tp>
      <tp t="s">
        <v>#BCONN</v>
        <stp>localhost</stp>
        <stp>BC</stp>
        <stp>FIELD</stp>
        <stp>DAPQ50</stp>
        <stp>NEG</stp>
        <tr r="G17" s="2"/>
      </tp>
      <tp t="s">
        <v>#BCONN</v>
        <stp>localhost</stp>
        <stp>BC</stp>
        <stp>FIELD</stp>
        <stp>DAPQ40</stp>
        <stp>NEG</stp>
        <tr r="G15" s="2"/>
      </tp>
      <tp t="s">
        <v>#BCONN</v>
        <stp>localhost</stp>
        <stp>BC</stp>
        <stp>FIELD</stp>
        <stp>DAPQ60</stp>
        <stp>NEG</stp>
        <tr r="G19" s="2"/>
      </tp>
      <tp t="s">
        <v>#BCONN</v>
        <stp>localhost</stp>
        <stp>BC</stp>
        <stp>FIELD</stp>
        <stp>FRCQ22</stp>
        <stp>NEG</stp>
        <tr r="G2" s="4"/>
      </tp>
      <tp t="s">
        <v>#BCONN</v>
        <stp>localhost</stp>
        <stp>BC</stp>
        <stp>FIELD</stp>
        <stp>DAPQ30</stp>
        <stp>NEG</stp>
        <tr r="G12" s="2"/>
      </tp>
      <tp t="s">
        <v>#BCONN</v>
        <stp>localhost</stp>
        <stp>BC</stp>
        <stp>FIELD</stp>
        <stp>DAPQ32</stp>
        <stp>NEG</stp>
        <tr r="G13" s="2"/>
      </tp>
      <tp t="s">
        <v>#BCONN</v>
        <stp>localhost</stp>
        <stp>BC</stp>
        <stp>FIELD</stp>
        <stp>DOLQ22</stp>
        <stp>NEG</stp>
        <tr r="G2" s="7"/>
      </tp>
      <tp t="s">
        <v>#BCONN</v>
        <stp>localhost</stp>
        <stp>BC</stp>
        <stp>FIELD</stp>
        <stp>DAPQ28</stp>
        <stp>NEG</stp>
        <tr r="G11" s="2"/>
      </tp>
      <tp t="s">
        <v>#BCONN</v>
        <stp>localhost</stp>
        <stp>BC</stp>
        <stp>FIELD</stp>
        <stp>DI1Q22</stp>
        <stp>NEG</stp>
        <tr r="G2" s="5"/>
      </tp>
      <tp t="s">
        <v>#BCONN</v>
        <stp>localhost</stp>
        <stp>BC</stp>
        <stp>FIELD</stp>
        <stp>DAPQ24</stp>
        <stp>NEG</stp>
        <tr r="G7" s="2"/>
      </tp>
      <tp t="s">
        <v>#BCONN</v>
        <stp>localhost</stp>
        <stp>BC</stp>
        <stp>FIELD</stp>
        <stp>DDIQ22</stp>
        <stp>NEG</stp>
        <tr r="G2" s="3"/>
      </tp>
      <tp t="s">
        <v>#BCONN</v>
        <stp>localhost</stp>
        <stp>BC</stp>
        <stp>FIELD</stp>
        <stp>DAPQ26</stp>
        <stp>NEG</stp>
        <tr r="G9" s="2"/>
      </tp>
      <tp t="s">
        <v>#BCONN</v>
        <stp>localhost</stp>
        <stp>BC</stp>
        <stp>FIELD</stp>
        <stp>DAPQ22</stp>
        <stp>NEG</stp>
        <tr r="G2" s="2"/>
      </tp>
      <tp t="s">
        <v>#BCONN</v>
        <stp>localhost</stp>
        <stp>BC</stp>
        <stp>FIELD</stp>
        <stp>WINV23</stp>
        <stp>NEG</stp>
        <tr r="G16" s="6"/>
      </tp>
      <tp t="s">
        <v>#BCONN</v>
        <stp>localhost</stp>
        <stp>BC</stp>
        <stp>FIELD</stp>
        <stp>WINV22</stp>
        <stp>NEG</stp>
        <tr r="G4" s="6"/>
      </tp>
      <tp t="s">
        <v>#BCONN</v>
        <stp>localhost</stp>
        <stp>BC</stp>
        <stp>FIELD</stp>
        <stp>WDOV22</stp>
        <stp>NEG</stp>
        <tr r="G6" s="7"/>
      </tp>
      <tp t="e">
        <v>#VALUE!</v>
        <stp>localhost</stp>
        <stp>BC</stp>
        <stp>FIELD</stp>
        <stp>WDOV23</stp>
        <stp>NEG</stp>
        <tr r="G22" s="7"/>
      </tp>
      <tp t="s">
        <v>#BCONN</v>
        <stp>localhost</stp>
        <stp>BC</stp>
        <stp>FIELD</stp>
        <stp>INDV22</stp>
        <stp>NEG</stp>
        <tr r="G5" s="6"/>
      </tp>
      <tp t="s">
        <v>#BCONN</v>
        <stp>localhost</stp>
        <stp>BC</stp>
        <stp>FIELD</stp>
        <stp>INDV23</stp>
        <stp>NEG</stp>
        <tr r="G17" s="6"/>
      </tp>
      <tp t="s">
        <v>#BCONN</v>
        <stp>localhost</stp>
        <stp>BC</stp>
        <stp>FIELD</stp>
        <stp>FRCV26</stp>
        <stp>NEG</stp>
        <tr r="G26" s="4"/>
      </tp>
      <tp t="s">
        <v>#BCONN</v>
        <stp>localhost</stp>
        <stp>BC</stp>
        <stp>FIELD</stp>
        <stp>FRCV24</stp>
        <stp>NEG</stp>
        <tr r="G18" s="4"/>
      </tp>
      <tp t="s">
        <v>#BCONN</v>
        <stp>localhost</stp>
        <stp>BC</stp>
        <stp>FIELD</stp>
        <stp>FRCV25</stp>
        <stp>NEG</stp>
        <tr r="G22" s="4"/>
      </tp>
      <tp t="s">
        <v>#BCONN</v>
        <stp>localhost</stp>
        <stp>BC</stp>
        <stp>FIELD</stp>
        <stp>FRCV22</stp>
        <stp>NEG</stp>
        <tr r="G4" s="4"/>
      </tp>
      <tp t="s">
        <v>#BCONN</v>
        <stp>localhost</stp>
        <stp>BC</stp>
        <stp>FIELD</stp>
        <stp>FRCV23</stp>
        <stp>NEG</stp>
        <tr r="G14" s="4"/>
      </tp>
      <tp t="s">
        <v>#BCONN</v>
        <stp>localhost</stp>
        <stp>BC</stp>
        <stp>FIELD</stp>
        <stp>DI1V25</stp>
        <stp>NEG</stp>
        <tr r="G22" s="5"/>
      </tp>
      <tp t="e">
        <v>#VALUE!</v>
        <stp>localhost</stp>
        <stp>BC</stp>
        <stp>FIELD</stp>
        <stp>DOLV23</stp>
        <stp>NEG</stp>
        <tr r="G21" s="7"/>
      </tp>
      <tp t="s">
        <v>#BCONN</v>
        <stp>localhost</stp>
        <stp>BC</stp>
        <stp>FIELD</stp>
        <stp>DI1V24</stp>
        <stp>NEG</stp>
        <tr r="G18" s="5"/>
      </tp>
      <tp t="s">
        <v>#BCONN</v>
        <stp>localhost</stp>
        <stp>BC</stp>
        <stp>FIELD</stp>
        <stp>DOLV22</stp>
        <stp>NEG</stp>
        <tr r="G7" s="7"/>
      </tp>
      <tp t="s">
        <v>#BCONN</v>
        <stp>localhost</stp>
        <stp>BC</stp>
        <stp>FIELD</stp>
        <stp>DI1V26</stp>
        <stp>NEG</stp>
        <tr r="G26" s="5"/>
      </tp>
      <tp t="s">
        <v>#BCONN</v>
        <stp>localhost</stp>
        <stp>BC</stp>
        <stp>FIELD</stp>
        <stp>DI1V23</stp>
        <stp>NEG</stp>
        <tr r="G14" s="5"/>
      </tp>
      <tp t="s">
        <v>#BCONN</v>
        <stp>localhost</stp>
        <stp>BC</stp>
        <stp>FIELD</stp>
        <stp>DI1V22</stp>
        <stp>NEG</stp>
        <tr r="G4" s="5"/>
      </tp>
      <tp t="e">
        <v>#VALUE!</v>
        <stp>localhost</stp>
        <stp>BC</stp>
        <stp>FIELD</stp>
        <stp>DOLV24</stp>
        <stp>NEG</stp>
        <tr r="G27" s="7"/>
      </tp>
      <tp t="s">
        <v>#BCONN</v>
        <stp>localhost</stp>
        <stp>BC</stp>
        <stp>FIELD</stp>
        <stp>DDIV22</stp>
        <stp>NEG</stp>
        <tr r="G4" s="3"/>
      </tp>
      <tp t="s">
        <v>#BCONN</v>
        <stp>localhost</stp>
        <stp>BC</stp>
        <stp>FIELD</stp>
        <stp>DDIV23</stp>
        <stp>NEG</stp>
        <tr r="G14" s="3"/>
      </tp>
      <tp t="s">
        <v>#BCONN</v>
        <stp>localhost</stp>
        <stp>BC</stp>
        <stp>FIELD</stp>
        <stp>DDIV24</stp>
        <stp>NEG</stp>
        <tr r="G18" s="3"/>
      </tp>
      <tp t="s">
        <v>#BCONN</v>
        <stp>localhost</stp>
        <stp>BC</stp>
        <stp>FIELD</stp>
        <stp>DDIV25</stp>
        <stp>NEG</stp>
        <tr r="G22" s="3"/>
      </tp>
      <tp t="s">
        <v>#BCONN</v>
        <stp>localhost</stp>
        <stp>BC</stp>
        <stp>FIELD</stp>
        <stp>DDIV26</stp>
        <stp>NEG</stp>
        <tr r="G26" s="3"/>
      </tp>
      <tp t="s">
        <v>#BCONN</v>
        <stp>localhost</stp>
        <stp>BC</stp>
        <stp>FIELD</stp>
        <stp>WDOX22</stp>
        <stp>AJU</stp>
        <tr r="D9" s="7"/>
      </tp>
      <tp t="s">
        <v>#BCONN</v>
        <stp>localhost</stp>
        <stp>BC</stp>
        <stp>FIELD</stp>
        <stp>WINZ23</stp>
        <stp>CNG</stp>
        <tr r="F19" s="6"/>
      </tp>
      <tp t="s">
        <v>#BCONN</v>
        <stp>localhost</stp>
        <stp>BC</stp>
        <stp>FIELD</stp>
        <stp>WINZ22</stp>
        <stp>CNG</stp>
        <tr r="F7" s="6"/>
      </tp>
      <tp t="s">
        <v>#BCONN</v>
        <stp>localhost</stp>
        <stp>BC</stp>
        <stp>FIELD</stp>
        <stp>WDOZ22</stp>
        <stp>CNG</stp>
        <tr r="F10" s="7"/>
      </tp>
      <tp t="s">
        <v>#BCONN</v>
        <stp>localhost</stp>
        <stp>BC</stp>
        <stp>FIELD</stp>
        <stp>WINZ22</stp>
        <stp>CAB</stp>
        <tr r="E7" s="6"/>
      </tp>
      <tp t="s">
        <v>#BCONN</v>
        <stp>localhost</stp>
        <stp>BC</stp>
        <stp>FIELD</stp>
        <stp>WINZ23</stp>
        <stp>CAB</stp>
        <tr r="E19" s="6"/>
      </tp>
      <tp t="s">
        <v>#BCONN</v>
        <stp>localhost</stp>
        <stp>BC</stp>
        <stp>FIELD</stp>
        <stp>WDOZ22</stp>
        <stp>CAB</stp>
        <tr r="E10" s="7"/>
      </tp>
      <tp t="s">
        <v>#BCONN</v>
        <stp>localhost</stp>
        <stp>BC</stp>
        <stp>FIELD</stp>
        <stp>DOLX22</stp>
        <stp>AJU</stp>
        <tr r="D8" s="7"/>
      </tp>
      <tp t="s">
        <v>#BCONN</v>
        <stp>localhost</stp>
        <stp>BC</stp>
        <stp>FIELD</stp>
        <stp>DI1X22</stp>
        <stp>AJU</stp>
        <tr r="D5" s="5"/>
      </tp>
      <tp t="s">
        <v>#BCONN</v>
        <stp>localhost</stp>
        <stp>BC</stp>
        <stp>FIELD</stp>
        <stp>DDIX22</stp>
        <stp>AJU</stp>
        <tr r="D5" s="3"/>
      </tp>
      <tp t="s">
        <v>#BCONN</v>
        <stp>localhost</stp>
        <stp>BC</stp>
        <stp>FIELD</stp>
        <stp>FRCX22</stp>
        <stp>AJU</stp>
        <tr r="D5" s="4"/>
      </tp>
      <tp t="s">
        <v>#BCONN</v>
        <stp>localhost</stp>
        <stp>BC</stp>
        <stp>FIELD</stp>
        <stp>DOLZ22</stp>
        <stp>CNG</stp>
        <tr r="F11" s="7"/>
      </tp>
      <tp t="s">
        <v>#BCONN</v>
        <stp>localhost</stp>
        <stp>BC</stp>
        <stp>FIELD</stp>
        <stp>DI1Z22</stp>
        <stp>CNG</stp>
        <tr r="F6" s="5"/>
      </tp>
      <tp t="s">
        <v>#BCONN</v>
        <stp>localhost</stp>
        <stp>BC</stp>
        <stp>FIELD</stp>
        <stp>DDIZ22</stp>
        <stp>CNG</stp>
        <tr r="F6" s="3"/>
      </tp>
      <tp t="s">
        <v>#BCONN</v>
        <stp>localhost</stp>
        <stp>BC</stp>
        <stp>FIELD</stp>
        <stp>INDZ23</stp>
        <stp>CAB</stp>
        <tr r="E18" s="6"/>
      </tp>
      <tp t="s">
        <v>#BCONN</v>
        <stp>localhost</stp>
        <stp>BC</stp>
        <stp>FIELD</stp>
        <stp>INDZ22</stp>
        <stp>CAB</stp>
        <tr r="E6" s="6"/>
      </tp>
      <tp t="s">
        <v>#BCONN</v>
        <stp>localhost</stp>
        <stp>BC</stp>
        <stp>FIELD</stp>
        <stp>FRCZ22</stp>
        <stp>CNG</stp>
        <tr r="F6" s="4"/>
      </tp>
      <tp t="s">
        <v>#BCONN</v>
        <stp>localhost</stp>
        <stp>BC</stp>
        <stp>FIELD</stp>
        <stp>INDZ22</stp>
        <stp>CNG</stp>
        <tr r="F6" s="6"/>
      </tp>
      <tp t="s">
        <v>#BCONN</v>
        <stp>localhost</stp>
        <stp>BC</stp>
        <stp>FIELD</stp>
        <stp>INDZ23</stp>
        <stp>CNG</stp>
        <tr r="F18" s="6"/>
      </tp>
      <tp t="s">
        <v>#BCONN</v>
        <stp>localhost</stp>
        <stp>BC</stp>
        <stp>FIELD</stp>
        <stp>FRCZ22</stp>
        <stp>CAB</stp>
        <tr r="E6" s="4"/>
      </tp>
      <tp t="s">
        <v>#BCONN</v>
        <stp>localhost</stp>
        <stp>BC</stp>
        <stp>FIELD</stp>
        <stp>DI1Z22</stp>
        <stp>CAB</stp>
        <tr r="E6" s="5"/>
      </tp>
      <tp t="s">
        <v>#BCONN</v>
        <stp>localhost</stp>
        <stp>BC</stp>
        <stp>FIELD</stp>
        <stp>DOLZ22</stp>
        <stp>CAB</stp>
        <tr r="E11" s="7"/>
      </tp>
      <tp t="s">
        <v>#BCONN</v>
        <stp>localhost</stp>
        <stp>BC</stp>
        <stp>FIELD</stp>
        <stp>DDIZ22</stp>
        <stp>CAB</stp>
        <tr r="E6" s="3"/>
      </tp>
      <tp t="s">
        <v>#BCONN</v>
        <stp>localhost</stp>
        <stp>BC</stp>
        <stp>FIELD</stp>
        <stp>DR1@0</stp>
        <stp>DRF</stp>
        <tr r="C2" s="9"/>
      </tp>
      <tp t="s">
        <v>#BCONN</v>
        <stp>localhost</stp>
        <stp>BC</stp>
        <stp>FIELD</stp>
        <stp>DR1@1</stp>
        <stp>DRF</stp>
        <tr r="C3" s="9"/>
      </tp>
      <tp t="s">
        <v>#BCONN</v>
        <stp>localhost</stp>
        <stp>BC</stp>
        <stp>FIELD</stp>
        <stp>WINZ23</stp>
        <stp>AJU</stp>
        <tr r="D19" s="6"/>
      </tp>
      <tp t="s">
        <v>#BCONN</v>
        <stp>localhost</stp>
        <stp>BC</stp>
        <stp>FIELD</stp>
        <stp>WINZ22</stp>
        <stp>AJU</stp>
        <tr r="D7" s="6"/>
      </tp>
      <tp t="s">
        <v>#BCONN</v>
        <stp>localhost</stp>
        <stp>BC</stp>
        <stp>FIELD</stp>
        <stp>WDOZ22</stp>
        <stp>AJU</stp>
        <tr r="D10" s="7"/>
      </tp>
      <tp t="s">
        <v>#BCONN</v>
        <stp>localhost</stp>
        <stp>BC</stp>
        <stp>FIELD</stp>
        <stp>WDOX22</stp>
        <stp>CNG</stp>
        <tr r="F9" s="7"/>
      </tp>
      <tp t="s">
        <v>#BCONN</v>
        <stp>localhost</stp>
        <stp>BC</stp>
        <stp>FIELD</stp>
        <stp>WDOX22</stp>
        <stp>CAB</stp>
        <tr r="E9" s="7"/>
      </tp>
      <tp t="s">
        <v>#BCONN</v>
        <stp>localhost</stp>
        <stp>BC</stp>
        <stp>FIELD</stp>
        <stp>WDOU22</stp>
        <stp>NEG</stp>
        <tr r="G5" s="7"/>
      </tp>
      <tp t="s">
        <v>#BCONN</v>
        <stp>localhost</stp>
        <stp>BC</stp>
        <stp>FIELD</stp>
        <stp>DOLZ22</stp>
        <stp>AJU</stp>
        <tr r="D11" s="7"/>
      </tp>
      <tp t="s">
        <v>#BCONN</v>
        <stp>localhost</stp>
        <stp>BC</stp>
        <stp>FIELD</stp>
        <stp>DI1Z22</stp>
        <stp>AJU</stp>
        <tr r="D6" s="5"/>
      </tp>
      <tp t="s">
        <v>#BCONN</v>
        <stp>localhost</stp>
        <stp>BC</stp>
        <stp>FIELD</stp>
        <stp>DDIZ22</stp>
        <stp>AJU</stp>
        <tr r="D6" s="3"/>
      </tp>
      <tp t="s">
        <v>#BCONN</v>
        <stp>localhost</stp>
        <stp>BC</stp>
        <stp>FIELD</stp>
        <stp>FRCZ22</stp>
        <stp>AJU</stp>
        <tr r="D6" s="4"/>
      </tp>
      <tp t="s">
        <v>#BCONN</v>
        <stp>localhost</stp>
        <stp>BC</stp>
        <stp>FIELD</stp>
        <stp>DOLX22</stp>
        <stp>CNG</stp>
        <tr r="F8" s="7"/>
      </tp>
      <tp t="s">
        <v>#BCONN</v>
        <stp>localhost</stp>
        <stp>BC</stp>
        <stp>FIELD</stp>
        <stp>DI1X22</stp>
        <stp>CNG</stp>
        <tr r="F5" s="5"/>
      </tp>
      <tp t="s">
        <v>#BCONN</v>
        <stp>localhost</stp>
        <stp>BC</stp>
        <stp>FIELD</stp>
        <stp>DDIX22</stp>
        <stp>CNG</stp>
        <tr r="F5" s="3"/>
      </tp>
      <tp t="s">
        <v>#BCONN</v>
        <stp>localhost</stp>
        <stp>BC</stp>
        <stp>FIELD</stp>
        <stp>FRCX22</stp>
        <stp>CNG</stp>
        <tr r="F5" s="4"/>
      </tp>
      <tp t="s">
        <v>#BCONN</v>
        <stp>localhost</stp>
        <stp>BC</stp>
        <stp>FIELD</stp>
        <stp>FRCX22</stp>
        <stp>CAB</stp>
        <tr r="E5" s="4"/>
      </tp>
      <tp t="s">
        <v>#BCONN</v>
        <stp>localhost</stp>
        <stp>BC</stp>
        <stp>FIELD</stp>
        <stp>DI1X22</stp>
        <stp>CAB</stp>
        <tr r="E5" s="5"/>
      </tp>
      <tp t="s">
        <v>#BCONN</v>
        <stp>localhost</stp>
        <stp>BC</stp>
        <stp>FIELD</stp>
        <stp>DOLX22</stp>
        <stp>CAB</stp>
        <tr r="E8" s="7"/>
      </tp>
      <tp t="s">
        <v>#BCONN</v>
        <stp>localhost</stp>
        <stp>BC</stp>
        <stp>FIELD</stp>
        <stp>DDIX22</stp>
        <stp>CAB</stp>
        <tr r="E5" s="3"/>
      </tp>
      <tp t="s">
        <v>#BCONN</v>
        <stp>localhost</stp>
        <stp>BC</stp>
        <stp>FIELD</stp>
        <stp>INDZ22</stp>
        <stp>AJU</stp>
        <tr r="D6" s="6"/>
      </tp>
      <tp t="s">
        <v>#BCONN</v>
        <stp>localhost</stp>
        <stp>BC</stp>
        <stp>FIELD</stp>
        <stp>INDZ23</stp>
        <stp>AJU</stp>
        <tr r="D18" s="6"/>
      </tp>
      <tp t="s">
        <v>#BCONN</v>
        <stp>localhost</stp>
        <stp>BC</stp>
        <stp>FIELD</stp>
        <stp>FRCU22</stp>
        <stp>NEG</stp>
        <tr r="G3" s="4"/>
      </tp>
      <tp t="s">
        <v>#BCONN</v>
        <stp>localhost</stp>
        <stp>BC</stp>
        <stp>FIELD</stp>
        <stp>DOLU22</stp>
        <stp>NEG</stp>
        <tr r="G4" s="7"/>
      </tp>
      <tp t="s">
        <v>#BCONN</v>
        <stp>localhost</stp>
        <stp>BC</stp>
        <stp>FIELD</stp>
        <stp>DI1U22</stp>
        <stp>NEG</stp>
        <tr r="G3" s="5"/>
      </tp>
      <tp t="s">
        <v>#BCONN</v>
        <stp>localhost</stp>
        <stp>BC</stp>
        <stp>FIELD</stp>
        <stp>DDIU22</stp>
        <stp>NEG</stp>
        <tr r="G3" s="3"/>
      </tp>
      <tp t="s">
        <v>#BCONN</v>
        <stp>localhost</stp>
        <stp>BC</stp>
        <stp>FIELD</stp>
        <stp>DAPU22</stp>
        <stp>NEG</stp>
        <tr r="G3" s="2"/>
      </tp>
      <tp t="s">
        <v>#BCONN</v>
        <stp>localhost</stp>
        <stp>BC</stp>
        <stp>FIELD</stp>
        <stp>WING24</stp>
        <stp>CNG</stp>
        <tr r="F20" s="6"/>
      </tp>
      <tp t="s">
        <v>#BCONN</v>
        <stp>localhost</stp>
        <stp>BC</stp>
        <stp>FIELD</stp>
        <stp>WING23</stp>
        <stp>CNG</stp>
        <tr r="F8" s="6"/>
      </tp>
      <tp t="s">
        <v>#BCONN</v>
        <stp>localhost</stp>
        <stp>BC</stp>
        <stp>FIELD</stp>
        <stp>WING23</stp>
        <stp>CAB</stp>
        <tr r="E8" s="6"/>
      </tp>
      <tp t="s">
        <v>#BCONN</v>
        <stp>localhost</stp>
        <stp>BC</stp>
        <stp>FIELD</stp>
        <stp>WING24</stp>
        <stp>CAB</stp>
        <tr r="E20" s="6"/>
      </tp>
      <tp t="s">
        <v>#BCONN</v>
        <stp>localhost</stp>
        <stp>BC</stp>
        <stp>FIELD</stp>
        <stp>WINJ24</stp>
        <stp>NEG</stp>
        <tr r="G23" s="6"/>
      </tp>
      <tp t="s">
        <v>#BCONN</v>
        <stp>localhost</stp>
        <stp>BC</stp>
        <stp>FIELD</stp>
        <stp>WINJ23</stp>
        <stp>NEG</stp>
        <tr r="G11" s="6"/>
      </tp>
      <tp t="e">
        <v>#VALUE!</v>
        <stp>localhost</stp>
        <stp>BC</stp>
        <stp>FIELD</stp>
        <stp>WDOJ23</stp>
        <stp>NEG</stp>
        <tr r="G17" s="7"/>
      </tp>
      <tp t="s">
        <v>#BCONN</v>
        <stp>localhost</stp>
        <stp>BC</stp>
        <stp>FIELD</stp>
        <stp>INDJ23</stp>
        <stp>NEG</stp>
        <tr r="G10" s="6"/>
      </tp>
      <tp t="s">
        <v>#BCONN</v>
        <stp>localhost</stp>
        <stp>BC</stp>
        <stp>FIELD</stp>
        <stp>INDJ24</stp>
        <stp>NEG</stp>
        <tr r="G22" s="6"/>
      </tp>
      <tp t="s">
        <v>#BCONN</v>
        <stp>localhost</stp>
        <stp>BC</stp>
        <stp>FIELD</stp>
        <stp>DOLG23</stp>
        <stp>CNG</stp>
        <tr r="F14" s="7"/>
      </tp>
      <tp t="s">
        <v>#BCONN</v>
        <stp>localhost</stp>
        <stp>BC</stp>
        <stp>FIELD</stp>
        <stp>DI1G23</stp>
        <stp>CNG</stp>
        <tr r="F8" s="5"/>
      </tp>
      <tp t="s">
        <v>#BCONN</v>
        <stp>localhost</stp>
        <stp>BC</stp>
        <stp>FIELD</stp>
        <stp>DDIG23</stp>
        <stp>CNG</stp>
        <tr r="F8" s="3"/>
      </tp>
      <tp t="s">
        <v>#BCONN</v>
        <stp>localhost</stp>
        <stp>BC</stp>
        <stp>FIELD</stp>
        <stp>INDG24</stp>
        <stp>CAB</stp>
        <tr r="E21" s="6"/>
      </tp>
      <tp t="s">
        <v>#BCONN</v>
        <stp>localhost</stp>
        <stp>BC</stp>
        <stp>FIELD</stp>
        <stp>INDG23</stp>
        <stp>CAB</stp>
        <tr r="E9" s="6"/>
      </tp>
      <tp t="s">
        <v>#BCONN</v>
        <stp>localhost</stp>
        <stp>BC</stp>
        <stp>FIELD</stp>
        <stp>FRCG23</stp>
        <stp>CNG</stp>
        <tr r="F8" s="4"/>
      </tp>
      <tp t="s">
        <v>#BCONN</v>
        <stp>localhost</stp>
        <stp>BC</stp>
        <stp>FIELD</stp>
        <stp>INDG23</stp>
        <stp>CNG</stp>
        <tr r="F9" s="6"/>
      </tp>
      <tp t="s">
        <v>#BCONN</v>
        <stp>localhost</stp>
        <stp>BC</stp>
        <stp>FIELD</stp>
        <stp>INDG24</stp>
        <stp>CNG</stp>
        <tr r="F21" s="6"/>
      </tp>
      <tp t="s">
        <v>#BCONN</v>
        <stp>localhost</stp>
        <stp>BC</stp>
        <stp>FIELD</stp>
        <stp>FRCG23</stp>
        <stp>CAB</stp>
        <tr r="E8" s="4"/>
      </tp>
      <tp t="s">
        <v>#BCONN</v>
        <stp>localhost</stp>
        <stp>BC</stp>
        <stp>FIELD</stp>
        <stp>DI1G23</stp>
        <stp>CAB</stp>
        <tr r="E8" s="5"/>
      </tp>
      <tp t="s">
        <v>#BCONN</v>
        <stp>localhost</stp>
        <stp>BC</stp>
        <stp>FIELD</stp>
        <stp>DOLG23</stp>
        <stp>CAB</stp>
        <tr r="E14" s="7"/>
      </tp>
      <tp t="s">
        <v>#BCONN</v>
        <stp>localhost</stp>
        <stp>BC</stp>
        <stp>FIELD</stp>
        <stp>DDIG23</stp>
        <stp>CAB</stp>
        <tr r="E8" s="3"/>
      </tp>
      <tp t="s">
        <v>#BCONN</v>
        <stp>localhost</stp>
        <stp>BC</stp>
        <stp>FIELD</stp>
        <stp>FRCJ26</stp>
        <stp>NEG</stp>
        <tr r="G24" s="4"/>
      </tp>
      <tp t="s">
        <v>#BCONN</v>
        <stp>localhost</stp>
        <stp>BC</stp>
        <stp>FIELD</stp>
        <stp>FRCJ27</stp>
        <stp>NEG</stp>
        <tr r="G28" s="4"/>
      </tp>
      <tp t="s">
        <v>#BCONN</v>
        <stp>localhost</stp>
        <stp>BC</stp>
        <stp>FIELD</stp>
        <stp>FRCJ24</stp>
        <stp>NEG</stp>
        <tr r="G16" s="4"/>
      </tp>
      <tp t="s">
        <v>#BCONN</v>
        <stp>localhost</stp>
        <stp>BC</stp>
        <stp>FIELD</stp>
        <stp>FRCJ25</stp>
        <stp>NEG</stp>
        <tr r="G20" s="4"/>
      </tp>
      <tp t="s">
        <v>#BCONN</v>
        <stp>localhost</stp>
        <stp>BC</stp>
        <stp>FIELD</stp>
        <stp>FRCJ23</stp>
        <stp>NEG</stp>
        <tr r="G10" s="4"/>
      </tp>
      <tp t="s">
        <v>#BCONN</v>
        <stp>localhost</stp>
        <stp>BC</stp>
        <stp>FIELD</stp>
        <stp>DI1J25</stp>
        <stp>NEG</stp>
        <tr r="G20" s="5"/>
      </tp>
      <tp t="e">
        <v>#VALUE!</v>
        <stp>localhost</stp>
        <stp>BC</stp>
        <stp>FIELD</stp>
        <stp>DOLJ23</stp>
        <stp>NEG</stp>
        <tr r="G16" s="7"/>
      </tp>
      <tp t="s">
        <v>#BCONN</v>
        <stp>localhost</stp>
        <stp>BC</stp>
        <stp>FIELD</stp>
        <stp>DI1J24</stp>
        <stp>NEG</stp>
        <tr r="G16" s="5"/>
      </tp>
      <tp t="s">
        <v>#BCONN</v>
        <stp>localhost</stp>
        <stp>BC</stp>
        <stp>FIELD</stp>
        <stp>DI1J27</stp>
        <stp>NEG</stp>
        <tr r="G28" s="5"/>
      </tp>
      <tp t="s">
        <v>#BCONN</v>
        <stp>localhost</stp>
        <stp>BC</stp>
        <stp>FIELD</stp>
        <stp>DI1J26</stp>
        <stp>NEG</stp>
        <tr r="G24" s="5"/>
      </tp>
      <tp t="s">
        <v>#BCONN</v>
        <stp>localhost</stp>
        <stp>BC</stp>
        <stp>FIELD</stp>
        <stp>DI1J23</stp>
        <stp>NEG</stp>
        <tr r="G10" s="5"/>
      </tp>
      <tp t="e">
        <v>#VALUE!</v>
        <stp>localhost</stp>
        <stp>BC</stp>
        <stp>FIELD</stp>
        <stp>DOLJ25</stp>
        <stp>NEG</stp>
        <tr r="G30" s="7"/>
      </tp>
      <tp t="e">
        <v>#VALUE!</v>
        <stp>localhost</stp>
        <stp>BC</stp>
        <stp>FIELD</stp>
        <stp>DOLJ24</stp>
        <stp>NEG</stp>
        <tr r="G25" s="7"/>
      </tp>
      <tp t="s">
        <v>#BCONN</v>
        <stp>localhost</stp>
        <stp>BC</stp>
        <stp>FIELD</stp>
        <stp>DDIJ23</stp>
        <stp>NEG</stp>
        <tr r="G10" s="3"/>
      </tp>
      <tp t="s">
        <v>#BCONN</v>
        <stp>localhost</stp>
        <stp>BC</stp>
        <stp>FIELD</stp>
        <stp>DDIJ24</stp>
        <stp>NEG</stp>
        <tr r="G16" s="3"/>
      </tp>
      <tp t="s">
        <v>#BCONN</v>
        <stp>localhost</stp>
        <stp>BC</stp>
        <stp>FIELD</stp>
        <stp>DDIJ25</stp>
        <stp>NEG</stp>
        <tr r="G20" s="3"/>
      </tp>
      <tp t="s">
        <v>#BCONN</v>
        <stp>localhost</stp>
        <stp>BC</stp>
        <stp>FIELD</stp>
        <stp>DDIJ26</stp>
        <stp>NEG</stp>
        <tr r="G24" s="3"/>
      </tp>
      <tp t="s">
        <v>#BCONN</v>
        <stp>localhost</stp>
        <stp>BC</stp>
        <stp>FIELD</stp>
        <stp>DDIJ27</stp>
        <stp>NEG</stp>
        <tr r="G28" s="3"/>
      </tp>
      <tp t="s">
        <v>#BCONN</v>
        <stp>localhost</stp>
        <stp>BC</stp>
        <stp>FIELD</stp>
        <stp>WDOF23</stp>
        <stp>CNG</stp>
        <tr r="F13" s="7"/>
      </tp>
      <tp t="e">
        <v>#VALUE!</v>
        <stp>localhost</stp>
        <stp>BC</stp>
        <stp>FIELD</stp>
        <stp>WDOF24</stp>
        <stp>CNG</stp>
        <tr r="F23" s="7"/>
      </tp>
      <tp t="e">
        <v>#VALUE!</v>
        <stp>localhost</stp>
        <stp>BC</stp>
        <stp>FIELD</stp>
        <stp>WDOF25</stp>
        <stp>CNG</stp>
        <tr r="F29" s="7"/>
      </tp>
      <tp t="e">
        <v>#VALUE!</v>
        <stp>localhost</stp>
        <stp>BC</stp>
        <stp>FIELD</stp>
        <stp>WDOF25</stp>
        <stp>CAB</stp>
        <tr r="E29" s="7"/>
      </tp>
      <tp t="e">
        <v>#VALUE!</v>
        <stp>localhost</stp>
        <stp>BC</stp>
        <stp>FIELD</stp>
        <stp>WDOF24</stp>
        <stp>CAB</stp>
        <tr r="E23" s="7"/>
      </tp>
      <tp t="s">
        <v>#BCONN</v>
        <stp>localhost</stp>
        <stp>BC</stp>
        <stp>FIELD</stp>
        <stp>WDOF23</stp>
        <stp>CAB</stp>
        <tr r="E13" s="7"/>
      </tp>
      <tp t="s">
        <v>#BCONN</v>
        <stp>localhost</stp>
        <stp>BC</stp>
        <stp>FIELD</stp>
        <stp>DI1F25</stp>
        <stp>CNG</stp>
        <tr r="F19" s="5"/>
      </tp>
      <tp t="s">
        <v>#BCONN</v>
        <stp>localhost</stp>
        <stp>BC</stp>
        <stp>FIELD</stp>
        <stp>DDIF28</stp>
        <stp>CNG</stp>
        <tr r="F30" s="3"/>
      </tp>
      <tp t="s">
        <v>#BCONN</v>
        <stp>localhost</stp>
        <stp>BC</stp>
        <stp>FIELD</stp>
        <stp>DOLF23</stp>
        <stp>CNG</stp>
        <tr r="F12" s="7"/>
      </tp>
      <tp t="s">
        <v>#BCONN</v>
        <stp>localhost</stp>
        <stp>BC</stp>
        <stp>FIELD</stp>
        <stp>DI1F24</stp>
        <stp>CNG</stp>
        <tr r="F15" s="5"/>
      </tp>
      <tp t="s">
        <v>#BCONN</v>
        <stp>localhost</stp>
        <stp>BC</stp>
        <stp>FIELD</stp>
        <stp>DDIF29</stp>
        <stp>CNG</stp>
        <tr r="F31" s="3"/>
      </tp>
      <tp t="s">
        <v>#BCONN</v>
        <stp>localhost</stp>
        <stp>BC</stp>
        <stp>FIELD</stp>
        <stp>DI1F27</stp>
        <stp>CNG</stp>
        <tr r="F27" s="5"/>
      </tp>
      <tp t="s">
        <v>#BCONN</v>
        <stp>localhost</stp>
        <stp>BC</stp>
        <stp>FIELD</stp>
        <stp>DI1F26</stp>
        <stp>CNG</stp>
        <tr r="F23" s="5"/>
      </tp>
      <tp t="s">
        <v>#BCONN</v>
        <stp>localhost</stp>
        <stp>BC</stp>
        <stp>FIELD</stp>
        <stp>DI1F23</stp>
        <stp>CNG</stp>
        <tr r="F7" s="5"/>
      </tp>
      <tp t="e">
        <v>#VALUE!</v>
        <stp>localhost</stp>
        <stp>BC</stp>
        <stp>FIELD</stp>
        <stp>DOLF25</stp>
        <stp>CNG</stp>
        <tr r="F28" s="7"/>
      </tp>
      <tp t="e">
        <v>#VALUE!</v>
        <stp>localhost</stp>
        <stp>BC</stp>
        <stp>FIELD</stp>
        <stp>DOLF24</stp>
        <stp>CNG</stp>
        <tr r="F24" s="7"/>
      </tp>
      <tp t="s">
        <v>#BCONN</v>
        <stp>localhost</stp>
        <stp>BC</stp>
        <stp>FIELD</stp>
        <stp>DAPF24</stp>
        <stp>CNG</stp>
        <tr r="F6" s="2"/>
      </tp>
      <tp t="s">
        <v>#BCONN</v>
        <stp>localhost</stp>
        <stp>BC</stp>
        <stp>FIELD</stp>
        <stp>DDIF23</stp>
        <stp>CNG</stp>
        <tr r="F7" s="3"/>
      </tp>
      <tp t="s">
        <v>#BCONN</v>
        <stp>localhost</stp>
        <stp>BC</stp>
        <stp>FIELD</stp>
        <stp>DI1F29</stp>
        <stp>CNG</stp>
        <tr r="F31" s="5"/>
      </tp>
      <tp t="s">
        <v>#BCONN</v>
        <stp>localhost</stp>
        <stp>BC</stp>
        <stp>FIELD</stp>
        <stp>DDIF24</stp>
        <stp>CNG</stp>
        <tr r="F15" s="3"/>
      </tp>
      <tp t="s">
        <v>#BCONN</v>
        <stp>localhost</stp>
        <stp>BC</stp>
        <stp>FIELD</stp>
        <stp>DI1F28</stp>
        <stp>CNG</stp>
        <tr r="F30" s="5"/>
      </tp>
      <tp t="s">
        <v>#BCONN</v>
        <stp>localhost</stp>
        <stp>BC</stp>
        <stp>FIELD</stp>
        <stp>DDIF25</stp>
        <stp>CNG</stp>
        <tr r="F19" s="3"/>
      </tp>
      <tp t="s">
        <v>#BCONN</v>
        <stp>localhost</stp>
        <stp>BC</stp>
        <stp>FIELD</stp>
        <stp>DAPF23</stp>
        <stp>CNG</stp>
        <tr r="F4" s="2"/>
      </tp>
      <tp t="s">
        <v>#BCONN</v>
        <stp>localhost</stp>
        <stp>BC</stp>
        <stp>FIELD</stp>
        <stp>DDIF26</stp>
        <stp>CNG</stp>
        <tr r="F23" s="3"/>
      </tp>
      <tp t="s">
        <v>#BCONN</v>
        <stp>localhost</stp>
        <stp>BC</stp>
        <stp>FIELD</stp>
        <stp>DDIF27</stp>
        <stp>CNG</stp>
        <tr r="F27" s="3"/>
      </tp>
      <tp t="s">
        <v>#BCONN</v>
        <stp>localhost</stp>
        <stp>BC</stp>
        <stp>FIELD</stp>
        <stp>DI1F35</stp>
        <stp>CNG</stp>
        <tr r="F37" s="5"/>
      </tp>
      <tp t="s">
        <v>#BCONN</v>
        <stp>localhost</stp>
        <stp>BC</stp>
        <stp>FIELD</stp>
        <stp>DI1F34</stp>
        <stp>CNG</stp>
        <tr r="F36" s="5"/>
      </tp>
      <tp t="s">
        <v>#BCONN</v>
        <stp>localhost</stp>
        <stp>BC</stp>
        <stp>FIELD</stp>
        <stp>DI1F37</stp>
        <stp>CNG</stp>
        <tr r="F39" s="5"/>
      </tp>
      <tp t="s">
        <v>#BCONN</v>
        <stp>localhost</stp>
        <stp>BC</stp>
        <stp>FIELD</stp>
        <stp>DI1F36</stp>
        <stp>CNG</stp>
        <tr r="F38" s="5"/>
      </tp>
      <tp t="s">
        <v>#BCONN</v>
        <stp>localhost</stp>
        <stp>BC</stp>
        <stp>FIELD</stp>
        <stp>DI1F31</stp>
        <stp>CNG</stp>
        <tr r="F33" s="5"/>
      </tp>
      <tp t="s">
        <v>#BCONN</v>
        <stp>localhost</stp>
        <stp>BC</stp>
        <stp>FIELD</stp>
        <stp>DI1F30</stp>
        <stp>CNG</stp>
        <tr r="F32" s="5"/>
      </tp>
      <tp t="s">
        <v>#BCONN</v>
        <stp>localhost</stp>
        <stp>BC</stp>
        <stp>FIELD</stp>
        <stp>DI1F33</stp>
        <stp>CNG</stp>
        <tr r="F35" s="5"/>
      </tp>
      <tp t="s">
        <v>#BCONN</v>
        <stp>localhost</stp>
        <stp>BC</stp>
        <stp>FIELD</stp>
        <stp>DI1F32</stp>
        <stp>CNG</stp>
        <tr r="F34" s="5"/>
      </tp>
      <tp t="s">
        <v>#BCONN</v>
        <stp>localhost</stp>
        <stp>BC</stp>
        <stp>FIELD</stp>
        <stp>DDIF30</stp>
        <stp>CNG</stp>
        <tr r="F32" s="3"/>
      </tp>
      <tp t="s">
        <v>#BCONN</v>
        <stp>localhost</stp>
        <stp>BC</stp>
        <stp>FIELD</stp>
        <stp>DDIF31</stp>
        <stp>CNG</stp>
        <tr r="F33" s="3"/>
      </tp>
      <tp t="s">
        <v>#BCONN</v>
        <stp>localhost</stp>
        <stp>BC</stp>
        <stp>FIELD</stp>
        <stp>DDIF32</stp>
        <stp>CNG</stp>
        <tr r="F34" s="3"/>
      </tp>
      <tp t="s">
        <v>#BCONN</v>
        <stp>localhost</stp>
        <stp>BC</stp>
        <stp>FIELD</stp>
        <stp>DDIF33</stp>
        <stp>CNG</stp>
        <tr r="F35" s="3"/>
      </tp>
      <tp t="s">
        <v>#BCONN</v>
        <stp>localhost</stp>
        <stp>BC</stp>
        <stp>FIELD</stp>
        <stp>DDIF34</stp>
        <stp>CNG</stp>
        <tr r="F36" s="3"/>
      </tp>
      <tp t="s">
        <v>#BCONN</v>
        <stp>localhost</stp>
        <stp>BC</stp>
        <stp>FIELD</stp>
        <stp>DDIF35</stp>
        <stp>CNG</stp>
        <tr r="F37" s="3"/>
      </tp>
      <tp t="s">
        <v>#BCONN</v>
        <stp>localhost</stp>
        <stp>BC</stp>
        <stp>FIELD</stp>
        <stp>DDIF36</stp>
        <stp>CNG</stp>
        <tr r="F38" s="3"/>
      </tp>
      <tp t="s">
        <v>#BCONN</v>
        <stp>localhost</stp>
        <stp>BC</stp>
        <stp>FIELD</stp>
        <stp>DDIF37</stp>
        <stp>CNG</stp>
        <tr r="F39" s="3"/>
      </tp>
      <tp t="s">
        <v>#BCONN</v>
        <stp>localhost</stp>
        <stp>BC</stp>
        <stp>FIELD</stp>
        <stp>FRCF28</stp>
        <stp>CNG</stp>
        <tr r="F30" s="4"/>
      </tp>
      <tp t="s">
        <v>#BCONN</v>
        <stp>localhost</stp>
        <stp>BC</stp>
        <stp>FIELD</stp>
        <stp>FRCF29</stp>
        <stp>CNG</stp>
        <tr r="F31" s="4"/>
      </tp>
      <tp t="s">
        <v>#BCONN</v>
        <stp>localhost</stp>
        <stp>BC</stp>
        <stp>FIELD</stp>
        <stp>FRCF26</stp>
        <stp>CNG</stp>
        <tr r="F23" s="4"/>
      </tp>
      <tp t="s">
        <v>#BCONN</v>
        <stp>localhost</stp>
        <stp>BC</stp>
        <stp>FIELD</stp>
        <stp>FRCF27</stp>
        <stp>CNG</stp>
        <tr r="F27" s="4"/>
      </tp>
      <tp t="s">
        <v>#BCONN</v>
        <stp>localhost</stp>
        <stp>BC</stp>
        <stp>FIELD</stp>
        <stp>FRCF24</stp>
        <stp>CNG</stp>
        <tr r="F15" s="4"/>
      </tp>
      <tp t="s">
        <v>#BCONN</v>
        <stp>localhost</stp>
        <stp>BC</stp>
        <stp>FIELD</stp>
        <stp>FRCF25</stp>
        <stp>CNG</stp>
        <tr r="F19" s="4"/>
      </tp>
      <tp t="s">
        <v>#BCONN</v>
        <stp>localhost</stp>
        <stp>BC</stp>
        <stp>FIELD</stp>
        <stp>FRCF23</stp>
        <stp>CNG</stp>
        <tr r="F7" s="4"/>
      </tp>
      <tp t="s">
        <v>#BCONN</v>
        <stp>localhost</stp>
        <stp>BC</stp>
        <stp>FIELD</stp>
        <stp>FRCF36</stp>
        <stp>CNG</stp>
        <tr r="F38" s="4"/>
      </tp>
      <tp t="s">
        <v>#BCONN</v>
        <stp>localhost</stp>
        <stp>BC</stp>
        <stp>FIELD</stp>
        <stp>FRCF37</stp>
        <stp>CNG</stp>
        <tr r="F39" s="4"/>
      </tp>
      <tp t="s">
        <v>#BCONN</v>
        <stp>localhost</stp>
        <stp>BC</stp>
        <stp>FIELD</stp>
        <stp>FRCF34</stp>
        <stp>CNG</stp>
        <tr r="F36" s="4"/>
      </tp>
      <tp t="s">
        <v>#BCONN</v>
        <stp>localhost</stp>
        <stp>BC</stp>
        <stp>FIELD</stp>
        <stp>FRCF35</stp>
        <stp>CNG</stp>
        <tr r="F37" s="4"/>
      </tp>
      <tp t="s">
        <v>#BCONN</v>
        <stp>localhost</stp>
        <stp>BC</stp>
        <stp>FIELD</stp>
        <stp>FRCF32</stp>
        <stp>CNG</stp>
        <tr r="F34" s="4"/>
      </tp>
      <tp t="s">
        <v>#BCONN</v>
        <stp>localhost</stp>
        <stp>BC</stp>
        <stp>FIELD</stp>
        <stp>FRCF33</stp>
        <stp>CNG</stp>
        <tr r="F35" s="4"/>
      </tp>
      <tp t="s">
        <v>#BCONN</v>
        <stp>localhost</stp>
        <stp>BC</stp>
        <stp>FIELD</stp>
        <stp>FRCF30</stp>
        <stp>CNG</stp>
        <tr r="F32" s="4"/>
      </tp>
      <tp t="s">
        <v>#BCONN</v>
        <stp>localhost</stp>
        <stp>BC</stp>
        <stp>FIELD</stp>
        <stp>FRCF31</stp>
        <stp>CNG</stp>
        <tr r="F33" s="4"/>
      </tp>
      <tp t="s">
        <v>#BCONN</v>
        <stp>localhost</stp>
        <stp>BC</stp>
        <stp>FIELD</stp>
        <stp>DAPK55</stp>
        <stp>NEG</stp>
        <tr r="G18" s="2"/>
      </tp>
      <tp t="s">
        <v>#BCONN</v>
        <stp>localhost</stp>
        <stp>BC</stp>
        <stp>FIELD</stp>
        <stp>FRCF33</stp>
        <stp>CAB</stp>
        <tr r="E35" s="4"/>
      </tp>
      <tp t="s">
        <v>#BCONN</v>
        <stp>localhost</stp>
        <stp>BC</stp>
        <stp>FIELD</stp>
        <stp>FRCF32</stp>
        <stp>CAB</stp>
        <tr r="E34" s="4"/>
      </tp>
      <tp t="s">
        <v>#BCONN</v>
        <stp>localhost</stp>
        <stp>BC</stp>
        <stp>FIELD</stp>
        <stp>FRCF31</stp>
        <stp>CAB</stp>
        <tr r="E33" s="4"/>
      </tp>
      <tp t="s">
        <v>#BCONN</v>
        <stp>localhost</stp>
        <stp>BC</stp>
        <stp>FIELD</stp>
        <stp>FRCF30</stp>
        <stp>CAB</stp>
        <tr r="E32" s="4"/>
      </tp>
      <tp t="s">
        <v>#BCONN</v>
        <stp>localhost</stp>
        <stp>BC</stp>
        <stp>FIELD</stp>
        <stp>FRCF37</stp>
        <stp>CAB</stp>
        <tr r="E39" s="4"/>
      </tp>
      <tp t="s">
        <v>#BCONN</v>
        <stp>localhost</stp>
        <stp>BC</stp>
        <stp>FIELD</stp>
        <stp>FRCF36</stp>
        <stp>CAB</stp>
        <tr r="E38" s="4"/>
      </tp>
      <tp t="s">
        <v>#BCONN</v>
        <stp>localhost</stp>
        <stp>BC</stp>
        <stp>FIELD</stp>
        <stp>FRCF35</stp>
        <stp>CAB</stp>
        <tr r="E37" s="4"/>
      </tp>
      <tp t="s">
        <v>#BCONN</v>
        <stp>localhost</stp>
        <stp>BC</stp>
        <stp>FIELD</stp>
        <stp>FRCF34</stp>
        <stp>CAB</stp>
        <tr r="E36" s="4"/>
      </tp>
      <tp t="s">
        <v>#BCONN</v>
        <stp>localhost</stp>
        <stp>BC</stp>
        <stp>FIELD</stp>
        <stp>DAPK45</stp>
        <stp>NEG</stp>
        <tr r="G16" s="2"/>
      </tp>
      <tp t="s">
        <v>#BCONN</v>
        <stp>localhost</stp>
        <stp>BC</stp>
        <stp>FIELD</stp>
        <stp>FRCF29</stp>
        <stp>CAB</stp>
        <tr r="E31" s="4"/>
      </tp>
      <tp t="s">
        <v>#BCONN</v>
        <stp>localhost</stp>
        <stp>BC</stp>
        <stp>FIELD</stp>
        <stp>FRCF28</stp>
        <stp>CAB</stp>
        <tr r="E30" s="4"/>
      </tp>
      <tp t="s">
        <v>#BCONN</v>
        <stp>localhost</stp>
        <stp>BC</stp>
        <stp>FIELD</stp>
        <stp>FRCF23</stp>
        <stp>CAB</stp>
        <tr r="E7" s="4"/>
      </tp>
      <tp t="s">
        <v>#BCONN</v>
        <stp>localhost</stp>
        <stp>BC</stp>
        <stp>FIELD</stp>
        <stp>FRCF27</stp>
        <stp>CAB</stp>
        <tr r="E27" s="4"/>
      </tp>
      <tp t="s">
        <v>#BCONN</v>
        <stp>localhost</stp>
        <stp>BC</stp>
        <stp>FIELD</stp>
        <stp>FRCF26</stp>
        <stp>CAB</stp>
        <tr r="E23" s="4"/>
      </tp>
      <tp t="s">
        <v>#BCONN</v>
        <stp>localhost</stp>
        <stp>BC</stp>
        <stp>FIELD</stp>
        <stp>FRCF25</stp>
        <stp>CAB</stp>
        <tr r="E19" s="4"/>
      </tp>
      <tp t="s">
        <v>#BCONN</v>
        <stp>localhost</stp>
        <stp>BC</stp>
        <stp>FIELD</stp>
        <stp>FRCF24</stp>
        <stp>CAB</stp>
        <tr r="E15" s="4"/>
      </tp>
      <tp t="s">
        <v>#BCONN</v>
        <stp>localhost</stp>
        <stp>BC</stp>
        <stp>FIELD</stp>
        <stp>DI1F30</stp>
        <stp>CAB</stp>
        <tr r="E32" s="5"/>
      </tp>
      <tp t="s">
        <v>#BCONN</v>
        <stp>localhost</stp>
        <stp>BC</stp>
        <stp>FIELD</stp>
        <stp>DI1F31</stp>
        <stp>CAB</stp>
        <tr r="E33" s="5"/>
      </tp>
      <tp t="s">
        <v>#BCONN</v>
        <stp>localhost</stp>
        <stp>BC</stp>
        <stp>FIELD</stp>
        <stp>DI1F32</stp>
        <stp>CAB</stp>
        <tr r="E34" s="5"/>
      </tp>
      <tp t="s">
        <v>#BCONN</v>
        <stp>localhost</stp>
        <stp>BC</stp>
        <stp>FIELD</stp>
        <stp>DI1F33</stp>
        <stp>CAB</stp>
        <tr r="E35" s="5"/>
      </tp>
      <tp t="s">
        <v>#BCONN</v>
        <stp>localhost</stp>
        <stp>BC</stp>
        <stp>FIELD</stp>
        <stp>DI1F34</stp>
        <stp>CAB</stp>
        <tr r="E36" s="5"/>
      </tp>
      <tp t="s">
        <v>#BCONN</v>
        <stp>localhost</stp>
        <stp>BC</stp>
        <stp>FIELD</stp>
        <stp>DI1F35</stp>
        <stp>CAB</stp>
        <tr r="E37" s="5"/>
      </tp>
      <tp t="s">
        <v>#BCONN</v>
        <stp>localhost</stp>
        <stp>BC</stp>
        <stp>FIELD</stp>
        <stp>DI1F36</stp>
        <stp>CAB</stp>
        <tr r="E38" s="5"/>
      </tp>
      <tp t="s">
        <v>#BCONN</v>
        <stp>localhost</stp>
        <stp>BC</stp>
        <stp>FIELD</stp>
        <stp>DI1F37</stp>
        <stp>CAB</stp>
        <tr r="E39" s="5"/>
      </tp>
      <tp t="s">
        <v>#BCONN</v>
        <stp>localhost</stp>
        <stp>BC</stp>
        <stp>FIELD</stp>
        <stp>DDIF35</stp>
        <stp>CAB</stp>
        <tr r="E37" s="3"/>
      </tp>
      <tp t="s">
        <v>#BCONN</v>
        <stp>localhost</stp>
        <stp>BC</stp>
        <stp>FIELD</stp>
        <stp>DDIF34</stp>
        <stp>CAB</stp>
        <tr r="E36" s="3"/>
      </tp>
      <tp t="s">
        <v>#BCONN</v>
        <stp>localhost</stp>
        <stp>BC</stp>
        <stp>FIELD</stp>
        <stp>DDIF37</stp>
        <stp>CAB</stp>
        <tr r="E39" s="3"/>
      </tp>
      <tp t="s">
        <v>#BCONN</v>
        <stp>localhost</stp>
        <stp>BC</stp>
        <stp>FIELD</stp>
        <stp>DDIF36</stp>
        <stp>CAB</stp>
        <tr r="E38" s="3"/>
      </tp>
      <tp t="s">
        <v>#BCONN</v>
        <stp>localhost</stp>
        <stp>BC</stp>
        <stp>FIELD</stp>
        <stp>DDIF31</stp>
        <stp>CAB</stp>
        <tr r="E33" s="3"/>
      </tp>
      <tp t="s">
        <v>#BCONN</v>
        <stp>localhost</stp>
        <stp>BC</stp>
        <stp>FIELD</stp>
        <stp>DDIF30</stp>
        <stp>CAB</stp>
        <tr r="E32" s="3"/>
      </tp>
      <tp t="s">
        <v>#BCONN</v>
        <stp>localhost</stp>
        <stp>BC</stp>
        <stp>FIELD</stp>
        <stp>DDIF33</stp>
        <stp>CAB</stp>
        <tr r="E35" s="3"/>
      </tp>
      <tp t="s">
        <v>#BCONN</v>
        <stp>localhost</stp>
        <stp>BC</stp>
        <stp>FIELD</stp>
        <stp>DDIF32</stp>
        <stp>CAB</stp>
        <tr r="E34" s="3"/>
      </tp>
      <tp t="e">
        <v>#VALUE!</v>
        <stp>localhost</stp>
        <stp>BC</stp>
        <stp>FIELD</stp>
        <stp>DOLF24</stp>
        <stp>CAB</stp>
        <tr r="E24" s="7"/>
      </tp>
      <tp t="s">
        <v>#BCONN</v>
        <stp>localhost</stp>
        <stp>BC</stp>
        <stp>FIELD</stp>
        <stp>DI1F23</stp>
        <stp>CAB</stp>
        <tr r="E7" s="5"/>
      </tp>
      <tp t="e">
        <v>#VALUE!</v>
        <stp>localhost</stp>
        <stp>BC</stp>
        <stp>FIELD</stp>
        <stp>DOLF25</stp>
        <stp>CAB</stp>
        <tr r="E28" s="7"/>
      </tp>
      <tp t="s">
        <v>#BCONN</v>
        <stp>localhost</stp>
        <stp>BC</stp>
        <stp>FIELD</stp>
        <stp>DI1F24</stp>
        <stp>CAB</stp>
        <tr r="E15" s="5"/>
      </tp>
      <tp t="s">
        <v>#BCONN</v>
        <stp>localhost</stp>
        <stp>BC</stp>
        <stp>FIELD</stp>
        <stp>DDIF29</stp>
        <stp>CAB</stp>
        <tr r="E31" s="3"/>
      </tp>
      <tp t="s">
        <v>#BCONN</v>
        <stp>localhost</stp>
        <stp>BC</stp>
        <stp>FIELD</stp>
        <stp>DI1F25</stp>
        <stp>CAB</stp>
        <tr r="E19" s="5"/>
      </tp>
      <tp t="s">
        <v>#BCONN</v>
        <stp>localhost</stp>
        <stp>BC</stp>
        <stp>FIELD</stp>
        <stp>DDIF28</stp>
        <stp>CAB</stp>
        <tr r="E30" s="3"/>
      </tp>
      <tp t="s">
        <v>#BCONN</v>
        <stp>localhost</stp>
        <stp>BC</stp>
        <stp>FIELD</stp>
        <stp>DOLF23</stp>
        <stp>CAB</stp>
        <tr r="E12" s="7"/>
      </tp>
      <tp t="s">
        <v>#BCONN</v>
        <stp>localhost</stp>
        <stp>BC</stp>
        <stp>FIELD</stp>
        <stp>DI1F26</stp>
        <stp>CAB</stp>
        <tr r="E23" s="5"/>
      </tp>
      <tp t="s">
        <v>#BCONN</v>
        <stp>localhost</stp>
        <stp>BC</stp>
        <stp>FIELD</stp>
        <stp>DI1F27</stp>
        <stp>CAB</stp>
        <tr r="E27" s="5"/>
      </tp>
      <tp t="s">
        <v>#BCONN</v>
        <stp>localhost</stp>
        <stp>BC</stp>
        <stp>FIELD</stp>
        <stp>DI1F28</stp>
        <stp>CAB</stp>
        <tr r="E30" s="5"/>
      </tp>
      <tp t="s">
        <v>#BCONN</v>
        <stp>localhost</stp>
        <stp>BC</stp>
        <stp>FIELD</stp>
        <stp>DDIF25</stp>
        <stp>CAB</stp>
        <tr r="E19" s="3"/>
      </tp>
      <tp t="s">
        <v>#BCONN</v>
        <stp>localhost</stp>
        <stp>BC</stp>
        <stp>FIELD</stp>
        <stp>DI1F29</stp>
        <stp>CAB</stp>
        <tr r="E31" s="5"/>
      </tp>
      <tp t="s">
        <v>#BCONN</v>
        <stp>localhost</stp>
        <stp>BC</stp>
        <stp>FIELD</stp>
        <stp>DDIF24</stp>
        <stp>CAB</stp>
        <tr r="E15" s="3"/>
      </tp>
      <tp t="s">
        <v>#BCONN</v>
        <stp>localhost</stp>
        <stp>BC</stp>
        <stp>FIELD</stp>
        <stp>DDIF27</stp>
        <stp>CAB</stp>
        <tr r="E27" s="3"/>
      </tp>
      <tp t="s">
        <v>#BCONN</v>
        <stp>localhost</stp>
        <stp>BC</stp>
        <stp>FIELD</stp>
        <stp>DAPF23</stp>
        <stp>CAB</stp>
        <tr r="E4" s="2"/>
      </tp>
      <tp t="s">
        <v>#BCONN</v>
        <stp>localhost</stp>
        <stp>BC</stp>
        <stp>FIELD</stp>
        <stp>DDIF26</stp>
        <stp>CAB</stp>
        <tr r="E23" s="3"/>
      </tp>
      <tp t="s">
        <v>#BCONN</v>
        <stp>localhost</stp>
        <stp>BC</stp>
        <stp>FIELD</stp>
        <stp>DAPF24</stp>
        <stp>CAB</stp>
        <tr r="E6" s="2"/>
      </tp>
      <tp t="s">
        <v>#BCONN</v>
        <stp>localhost</stp>
        <stp>BC</stp>
        <stp>FIELD</stp>
        <stp>DDIF23</stp>
        <stp>CAB</stp>
        <tr r="E7" s="3"/>
      </tp>
      <tp t="s">
        <v>#BCONN</v>
        <stp>localhost</stp>
        <stp>BC</stp>
        <stp>FIELD</stp>
        <stp>FRCK23</stp>
        <stp>NEG</stp>
        <tr r="G11" s="4"/>
      </tp>
      <tp t="s">
        <v>#BCONN</v>
        <stp>localhost</stp>
        <stp>BC</stp>
        <stp>FIELD</stp>
        <stp>DAPK35</stp>
        <stp>NEG</stp>
        <tr r="G14" s="2"/>
      </tp>
      <tp t="e">
        <v>#VALUE!</v>
        <stp>localhost</stp>
        <stp>BC</stp>
        <stp>FIELD</stp>
        <stp>DOLK23</stp>
        <stp>NEG</stp>
        <tr r="G18" s="7"/>
      </tp>
      <tp t="s">
        <v>#BCONN</v>
        <stp>localhost</stp>
        <stp>BC</stp>
        <stp>FIELD</stp>
        <stp>DI1K23</stp>
        <stp>NEG</stp>
        <tr r="G11" s="5"/>
      </tp>
      <tp t="s">
        <v>#BCONN</v>
        <stp>localhost</stp>
        <stp>BC</stp>
        <stp>FIELD</stp>
        <stp>DAPK25</stp>
        <stp>NEG</stp>
        <tr r="G8" s="2"/>
      </tp>
      <tp t="s">
        <v>#BCONN</v>
        <stp>localhost</stp>
        <stp>BC</stp>
        <stp>FIELD</stp>
        <stp>DAPK27</stp>
        <stp>NEG</stp>
        <tr r="G10" s="2"/>
      </tp>
      <tp t="s">
        <v>#BCONN</v>
        <stp>localhost</stp>
        <stp>BC</stp>
        <stp>FIELD</stp>
        <stp>DDIK23</stp>
        <stp>NEG</stp>
        <tr r="G11" s="3"/>
      </tp>
      <tp t="s">
        <v>#BCONN</v>
        <stp>localhost</stp>
        <stp>BC</stp>
        <stp>FIELD</stp>
        <stp>DAPK23</stp>
        <stp>NEG</stp>
        <tr r="G5" s="2"/>
      </tp>
      <tp t="s">
        <v>#BCONN</v>
        <stp>localhost</stp>
        <stp>BC</stp>
        <stp>FIELD</stp>
        <stp>WING24</stp>
        <stp>AJU</stp>
        <tr r="D20" s="6"/>
      </tp>
      <tp t="s">
        <v>#BCONN</v>
        <stp>localhost</stp>
        <stp>BC</stp>
        <stp>FIELD</stp>
        <stp>WING23</stp>
        <stp>AJU</stp>
        <tr r="D8" s="6"/>
      </tp>
      <tp t="s">
        <v>#BCONN</v>
        <stp>localhost</stp>
        <stp>BC</stp>
        <stp>FIELD</stp>
        <stp>DOLG23</stp>
        <stp>AJU</stp>
        <tr r="D14" s="7"/>
      </tp>
      <tp t="s">
        <v>#BCONN</v>
        <stp>localhost</stp>
        <stp>BC</stp>
        <stp>FIELD</stp>
        <stp>DI1G23</stp>
        <stp>AJU</stp>
        <tr r="D8" s="5"/>
      </tp>
      <tp t="s">
        <v>#BCONN</v>
        <stp>localhost</stp>
        <stp>BC</stp>
        <stp>FIELD</stp>
        <stp>DDIG23</stp>
        <stp>AJU</stp>
        <tr r="D8" s="3"/>
      </tp>
      <tp t="s">
        <v>#BCONN</v>
        <stp>localhost</stp>
        <stp>BC</stp>
        <stp>FIELD</stp>
        <stp>FRCG23</stp>
        <stp>AJU</stp>
        <tr r="D8" s="4"/>
      </tp>
      <tp t="s">
        <v>#BCONN</v>
        <stp>localhost</stp>
        <stp>BC</stp>
        <stp>FIELD</stp>
        <stp>INDG23</stp>
        <stp>AJU</stp>
        <tr r="D9" s="6"/>
      </tp>
      <tp t="s">
        <v>#BCONN</v>
        <stp>localhost</stp>
        <stp>BC</stp>
        <stp>FIELD</stp>
        <stp>INDG24</stp>
        <stp>AJU</stp>
        <tr r="D21" s="6"/>
      </tp>
      <tp t="s">
        <v>#BCONN</v>
        <stp>localhost</stp>
        <stp>BC</stp>
        <stp>FIELD</stp>
        <stp>FRCH23</stp>
        <stp>NEG</stp>
        <tr r="G9" s="4"/>
      </tp>
      <tp t="e">
        <v>#VALUE!</v>
        <stp>localhost</stp>
        <stp>BC</stp>
        <stp>FIELD</stp>
        <stp>DOLH23</stp>
        <stp>NEG</stp>
        <tr r="G15" s="7"/>
      </tp>
      <tp t="s">
        <v>#BCONN</v>
        <stp>localhost</stp>
        <stp>BC</stp>
        <stp>FIELD</stp>
        <stp>DI1H23</stp>
        <stp>NEG</stp>
        <tr r="G9" s="5"/>
      </tp>
      <tp t="s">
        <v>#BCONN</v>
        <stp>localhost</stp>
        <stp>BC</stp>
        <stp>FIELD</stp>
        <stp>DDIH23</stp>
        <stp>NEG</stp>
        <tr r="G9" s="3"/>
      </tp>
      <tp t="s">
        <v>#BCONN</v>
        <stp>localhost</stp>
        <stp>BC</stp>
        <stp>FIELD</stp>
        <stp>WDOF23</stp>
        <stp>AJU</stp>
        <tr r="D13" s="7"/>
      </tp>
      <tp t="e">
        <v>#VALUE!</v>
        <stp>localhost</stp>
        <stp>BC</stp>
        <stp>FIELD</stp>
        <stp>WDOF24</stp>
        <stp>AJU</stp>
        <tr r="D23" s="7"/>
      </tp>
      <tp t="e">
        <v>#VALUE!</v>
        <stp>localhost</stp>
        <stp>BC</stp>
        <stp>FIELD</stp>
        <stp>WDOF25</stp>
        <stp>AJU</stp>
        <tr r="D29" s="7"/>
      </tp>
      <tp t="s">
        <v>#BCONN</v>
        <stp>localhost</stp>
        <stp>BC</stp>
        <stp>FIELD</stp>
        <stp>DI1F27</stp>
        <stp>AJU</stp>
        <tr r="D27" s="5"/>
      </tp>
      <tp t="s">
        <v>#BCONN</v>
        <stp>localhost</stp>
        <stp>BC</stp>
        <stp>FIELD</stp>
        <stp>DI1F26</stp>
        <stp>AJU</stp>
        <tr r="D23" s="5"/>
      </tp>
      <tp t="s">
        <v>#BCONN</v>
        <stp>localhost</stp>
        <stp>BC</stp>
        <stp>FIELD</stp>
        <stp>DI1F25</stp>
        <stp>AJU</stp>
        <tr r="D19" s="5"/>
      </tp>
      <tp t="s">
        <v>#BCONN</v>
        <stp>localhost</stp>
        <stp>BC</stp>
        <stp>FIELD</stp>
        <stp>DDIF28</stp>
        <stp>AJU</stp>
        <tr r="D30" s="3"/>
      </tp>
      <tp t="s">
        <v>#BCONN</v>
        <stp>localhost</stp>
        <stp>BC</stp>
        <stp>FIELD</stp>
        <stp>DOLF23</stp>
        <stp>AJU</stp>
        <tr r="D12" s="7"/>
      </tp>
      <tp t="s">
        <v>#BCONN</v>
        <stp>localhost</stp>
        <stp>BC</stp>
        <stp>FIELD</stp>
        <stp>DI1F24</stp>
        <stp>AJU</stp>
        <tr r="D15" s="5"/>
      </tp>
      <tp t="s">
        <v>#BCONN</v>
        <stp>localhost</stp>
        <stp>BC</stp>
        <stp>FIELD</stp>
        <stp>DDIF29</stp>
        <stp>AJU</stp>
        <tr r="D31" s="3"/>
      </tp>
      <tp t="s">
        <v>#BCONN</v>
        <stp>localhost</stp>
        <stp>BC</stp>
        <stp>FIELD</stp>
        <stp>DI1F23</stp>
        <stp>AJU</stp>
        <tr r="D7" s="5"/>
      </tp>
      <tp t="e">
        <v>#VALUE!</v>
        <stp>localhost</stp>
        <stp>BC</stp>
        <stp>FIELD</stp>
        <stp>DOLF25</stp>
        <stp>AJU</stp>
        <tr r="D28" s="7"/>
      </tp>
      <tp t="e">
        <v>#VALUE!</v>
        <stp>localhost</stp>
        <stp>BC</stp>
        <stp>FIELD</stp>
        <stp>DOLF24</stp>
        <stp>AJU</stp>
        <tr r="D24" s="7"/>
      </tp>
      <tp t="s">
        <v>#BCONN</v>
        <stp>localhost</stp>
        <stp>BC</stp>
        <stp>FIELD</stp>
        <stp>DDIF23</stp>
        <stp>AJU</stp>
        <tr r="D7" s="3"/>
      </tp>
      <tp t="s">
        <v>#BCONN</v>
        <stp>localhost</stp>
        <stp>BC</stp>
        <stp>FIELD</stp>
        <stp>DAPF24</stp>
        <stp>AJU</stp>
        <tr r="D6" s="2"/>
      </tp>
      <tp t="s">
        <v>#BCONN</v>
        <stp>localhost</stp>
        <stp>BC</stp>
        <stp>FIELD</stp>
        <stp>DAPF23</stp>
        <stp>AJU</stp>
        <tr r="D4" s="2"/>
      </tp>
      <tp t="s">
        <v>#BCONN</v>
        <stp>localhost</stp>
        <stp>BC</stp>
        <stp>FIELD</stp>
        <stp>DDIF26</stp>
        <stp>AJU</stp>
        <tr r="D23" s="3"/>
      </tp>
      <tp t="s">
        <v>#BCONN</v>
        <stp>localhost</stp>
        <stp>BC</stp>
        <stp>FIELD</stp>
        <stp>DDIF27</stp>
        <stp>AJU</stp>
        <tr r="D27" s="3"/>
      </tp>
      <tp t="s">
        <v>#BCONN</v>
        <stp>localhost</stp>
        <stp>BC</stp>
        <stp>FIELD</stp>
        <stp>DI1F29</stp>
        <stp>AJU</stp>
        <tr r="D31" s="5"/>
      </tp>
      <tp t="s">
        <v>#BCONN</v>
        <stp>localhost</stp>
        <stp>BC</stp>
        <stp>FIELD</stp>
        <stp>DDIF24</stp>
        <stp>AJU</stp>
        <tr r="D15" s="3"/>
      </tp>
      <tp t="s">
        <v>#BCONN</v>
        <stp>localhost</stp>
        <stp>BC</stp>
        <stp>FIELD</stp>
        <stp>DI1F28</stp>
        <stp>AJU</stp>
        <tr r="D30" s="5"/>
      </tp>
      <tp t="s">
        <v>#BCONN</v>
        <stp>localhost</stp>
        <stp>BC</stp>
        <stp>FIELD</stp>
        <stp>DDIF25</stp>
        <stp>AJU</stp>
        <tr r="D19" s="3"/>
      </tp>
      <tp t="s">
        <v>#BCONN</v>
        <stp>localhost</stp>
        <stp>BC</stp>
        <stp>FIELD</stp>
        <stp>DI1F37</stp>
        <stp>AJU</stp>
        <tr r="D39" s="5"/>
      </tp>
      <tp t="s">
        <v>#BCONN</v>
        <stp>localhost</stp>
        <stp>BC</stp>
        <stp>FIELD</stp>
        <stp>DI1F36</stp>
        <stp>AJU</stp>
        <tr r="D38" s="5"/>
      </tp>
      <tp t="s">
        <v>#BCONN</v>
        <stp>localhost</stp>
        <stp>BC</stp>
        <stp>FIELD</stp>
        <stp>DI1F35</stp>
        <stp>AJU</stp>
        <tr r="D37" s="5"/>
      </tp>
      <tp t="s">
        <v>#BCONN</v>
        <stp>localhost</stp>
        <stp>BC</stp>
        <stp>FIELD</stp>
        <stp>DI1F34</stp>
        <stp>AJU</stp>
        <tr r="D36" s="5"/>
      </tp>
      <tp t="s">
        <v>#BCONN</v>
        <stp>localhost</stp>
        <stp>BC</stp>
        <stp>FIELD</stp>
        <stp>DI1F33</stp>
        <stp>AJU</stp>
        <tr r="D35" s="5"/>
      </tp>
      <tp t="s">
        <v>#BCONN</v>
        <stp>localhost</stp>
        <stp>BC</stp>
        <stp>FIELD</stp>
        <stp>DI1F32</stp>
        <stp>AJU</stp>
        <tr r="D34" s="5"/>
      </tp>
      <tp t="s">
        <v>#BCONN</v>
        <stp>localhost</stp>
        <stp>BC</stp>
        <stp>FIELD</stp>
        <stp>DI1F31</stp>
        <stp>AJU</stp>
        <tr r="D33" s="5"/>
      </tp>
      <tp t="s">
        <v>#BCONN</v>
        <stp>localhost</stp>
        <stp>BC</stp>
        <stp>FIELD</stp>
        <stp>DI1F30</stp>
        <stp>AJU</stp>
        <tr r="D32" s="5"/>
      </tp>
      <tp t="s">
        <v>#BCONN</v>
        <stp>localhost</stp>
        <stp>BC</stp>
        <stp>FIELD</stp>
        <stp>DDIF32</stp>
        <stp>AJU</stp>
        <tr r="D34" s="3"/>
      </tp>
      <tp t="s">
        <v>#BCONN</v>
        <stp>localhost</stp>
        <stp>BC</stp>
        <stp>FIELD</stp>
        <stp>DDIF33</stp>
        <stp>AJU</stp>
        <tr r="D35" s="3"/>
      </tp>
      <tp t="s">
        <v>#BCONN</v>
        <stp>localhost</stp>
        <stp>BC</stp>
        <stp>FIELD</stp>
        <stp>DDIF30</stp>
        <stp>AJU</stp>
        <tr r="D32" s="3"/>
      </tp>
      <tp t="s">
        <v>#BCONN</v>
        <stp>localhost</stp>
        <stp>BC</stp>
        <stp>FIELD</stp>
        <stp>DDIF31</stp>
        <stp>AJU</stp>
        <tr r="D33" s="3"/>
      </tp>
      <tp t="s">
        <v>#BCONN</v>
        <stp>localhost</stp>
        <stp>BC</stp>
        <stp>FIELD</stp>
        <stp>DDIF36</stp>
        <stp>AJU</stp>
        <tr r="D38" s="3"/>
      </tp>
      <tp t="s">
        <v>#BCONN</v>
        <stp>localhost</stp>
        <stp>BC</stp>
        <stp>FIELD</stp>
        <stp>DDIF37</stp>
        <stp>AJU</stp>
        <tr r="D39" s="3"/>
      </tp>
      <tp t="s">
        <v>#BCONN</v>
        <stp>localhost</stp>
        <stp>BC</stp>
        <stp>FIELD</stp>
        <stp>DDIF34</stp>
        <stp>AJU</stp>
        <tr r="D36" s="3"/>
      </tp>
      <tp t="s">
        <v>#BCONN</v>
        <stp>localhost</stp>
        <stp>BC</stp>
        <stp>FIELD</stp>
        <stp>DDIF35</stp>
        <stp>AJU</stp>
        <tr r="D37" s="3"/>
      </tp>
      <tp t="s">
        <v>#BCONN</v>
        <stp>localhost</stp>
        <stp>BC</stp>
        <stp>FIELD</stp>
        <stp>FRCF28</stp>
        <stp>AJU</stp>
        <tr r="D30" s="4"/>
      </tp>
      <tp t="s">
        <v>#BCONN</v>
        <stp>localhost</stp>
        <stp>BC</stp>
        <stp>FIELD</stp>
        <stp>FRCF29</stp>
        <stp>AJU</stp>
        <tr r="D31" s="4"/>
      </tp>
      <tp t="s">
        <v>#BCONN</v>
        <stp>localhost</stp>
        <stp>BC</stp>
        <stp>FIELD</stp>
        <stp>FRCF24</stp>
        <stp>AJU</stp>
        <tr r="D15" s="4"/>
      </tp>
      <tp t="s">
        <v>#BCONN</v>
        <stp>localhost</stp>
        <stp>BC</stp>
        <stp>FIELD</stp>
        <stp>FRCF25</stp>
        <stp>AJU</stp>
        <tr r="D19" s="4"/>
      </tp>
      <tp t="s">
        <v>#BCONN</v>
        <stp>localhost</stp>
        <stp>BC</stp>
        <stp>FIELD</stp>
        <stp>FRCF26</stp>
        <stp>AJU</stp>
        <tr r="D23" s="4"/>
      </tp>
      <tp t="s">
        <v>#BCONN</v>
        <stp>localhost</stp>
        <stp>BC</stp>
        <stp>FIELD</stp>
        <stp>FRCF27</stp>
        <stp>AJU</stp>
        <tr r="D27" s="4"/>
      </tp>
      <tp t="s">
        <v>#BCONN</v>
        <stp>localhost</stp>
        <stp>BC</stp>
        <stp>FIELD</stp>
        <stp>FRCF23</stp>
        <stp>AJU</stp>
        <tr r="D7" s="4"/>
      </tp>
      <tp t="s">
        <v>#BCONN</v>
        <stp>localhost</stp>
        <stp>BC</stp>
        <stp>FIELD</stp>
        <stp>FRCF34</stp>
        <stp>AJU</stp>
        <tr r="D36" s="4"/>
      </tp>
      <tp t="s">
        <v>#BCONN</v>
        <stp>localhost</stp>
        <stp>BC</stp>
        <stp>FIELD</stp>
        <stp>FRCF35</stp>
        <stp>AJU</stp>
        <tr r="D37" s="4"/>
      </tp>
      <tp t="s">
        <v>#BCONN</v>
        <stp>localhost</stp>
        <stp>BC</stp>
        <stp>FIELD</stp>
        <stp>FRCF36</stp>
        <stp>AJU</stp>
        <tr r="D38" s="4"/>
      </tp>
      <tp t="s">
        <v>#BCONN</v>
        <stp>localhost</stp>
        <stp>BC</stp>
        <stp>FIELD</stp>
        <stp>FRCF37</stp>
        <stp>AJU</stp>
        <tr r="D39" s="4"/>
      </tp>
      <tp t="s">
        <v>#BCONN</v>
        <stp>localhost</stp>
        <stp>BC</stp>
        <stp>FIELD</stp>
        <stp>FRCF30</stp>
        <stp>AJU</stp>
        <tr r="D32" s="4"/>
      </tp>
      <tp t="s">
        <v>#BCONN</v>
        <stp>localhost</stp>
        <stp>BC</stp>
        <stp>FIELD</stp>
        <stp>FRCF31</stp>
        <stp>AJU</stp>
        <tr r="D33" s="4"/>
      </tp>
      <tp t="s">
        <v>#BCONN</v>
        <stp>localhost</stp>
        <stp>BC</stp>
        <stp>FIELD</stp>
        <stp>FRCF32</stp>
        <stp>AJU</stp>
        <tr r="D34" s="4"/>
      </tp>
      <tp t="s">
        <v>#BCONN</v>
        <stp>localhost</stp>
        <stp>BC</stp>
        <stp>FIELD</stp>
        <stp>FRCF33</stp>
        <stp>AJU</stp>
        <tr r="D35" s="4"/>
      </tp>
      <tp t="s">
        <v>#BCONN</v>
        <stp>localhost</stp>
        <stp>BC</stp>
        <stp>FIELD</stp>
        <stp>FRCN26</stp>
        <stp>NEG</stp>
        <tr r="G25" s="4"/>
      </tp>
      <tp t="s">
        <v>#BCONN</v>
        <stp>localhost</stp>
        <stp>BC</stp>
        <stp>FIELD</stp>
        <stp>FRCN27</stp>
        <stp>NEG</stp>
        <tr r="G29" s="4"/>
      </tp>
      <tp t="s">
        <v>#BCONN</v>
        <stp>localhost</stp>
        <stp>BC</stp>
        <stp>FIELD</stp>
        <stp>FRCN24</stp>
        <stp>NEG</stp>
        <tr r="G17" s="4"/>
      </tp>
      <tp t="s">
        <v>#BCONN</v>
        <stp>localhost</stp>
        <stp>BC</stp>
        <stp>FIELD</stp>
        <stp>FRCN25</stp>
        <stp>NEG</stp>
        <tr r="G21" s="4"/>
      </tp>
      <tp t="s">
        <v>#BCONN</v>
        <stp>localhost</stp>
        <stp>BC</stp>
        <stp>FIELD</stp>
        <stp>FRCN23</stp>
        <stp>NEG</stp>
        <tr r="G13" s="4"/>
      </tp>
      <tp t="s">
        <v>#BCONN</v>
        <stp>localhost</stp>
        <stp>BC</stp>
        <stp>FIELD</stp>
        <stp>DI1N25</stp>
        <stp>NEG</stp>
        <tr r="G21" s="5"/>
      </tp>
      <tp t="e">
        <v>#VALUE!</v>
        <stp>localhost</stp>
        <stp>BC</stp>
        <stp>FIELD</stp>
        <stp>DOLN23</stp>
        <stp>NEG</stp>
        <tr r="G20" s="7"/>
      </tp>
      <tp t="s">
        <v>#BCONN</v>
        <stp>localhost</stp>
        <stp>BC</stp>
        <stp>FIELD</stp>
        <stp>DI1N24</stp>
        <stp>NEG</stp>
        <tr r="G17" s="5"/>
      </tp>
      <tp t="s">
        <v>#BCONN</v>
        <stp>localhost</stp>
        <stp>BC</stp>
        <stp>FIELD</stp>
        <stp>DI1N27</stp>
        <stp>NEG</stp>
        <tr r="G29" s="5"/>
      </tp>
      <tp t="s">
        <v>#BCONN</v>
        <stp>localhost</stp>
        <stp>BC</stp>
        <stp>FIELD</stp>
        <stp>DI1N26</stp>
        <stp>NEG</stp>
        <tr r="G25" s="5"/>
      </tp>
      <tp t="s">
        <v>#BCONN</v>
        <stp>localhost</stp>
        <stp>BC</stp>
        <stp>FIELD</stp>
        <stp>DI1N23</stp>
        <stp>NEG</stp>
        <tr r="G13" s="5"/>
      </tp>
      <tp t="e">
        <v>#VALUE!</v>
        <stp>localhost</stp>
        <stp>BC</stp>
        <stp>FIELD</stp>
        <stp>DOLN25</stp>
        <stp>NEG</stp>
        <tr r="G31" s="7"/>
      </tp>
      <tp t="e">
        <v>#VALUE!</v>
        <stp>localhost</stp>
        <stp>BC</stp>
        <stp>FIELD</stp>
        <stp>DOLN24</stp>
        <stp>NEG</stp>
        <tr r="G26" s="7"/>
      </tp>
      <tp t="s">
        <v>#BCONN</v>
        <stp>localhost</stp>
        <stp>BC</stp>
        <stp>FIELD</stp>
        <stp>DDIN23</stp>
        <stp>NEG</stp>
        <tr r="G13" s="3"/>
      </tp>
      <tp t="s">
        <v>#BCONN</v>
        <stp>localhost</stp>
        <stp>BC</stp>
        <stp>FIELD</stp>
        <stp>DDIN24</stp>
        <stp>NEG</stp>
        <tr r="G17" s="3"/>
      </tp>
      <tp t="s">
        <v>#BCONN</v>
        <stp>localhost</stp>
        <stp>BC</stp>
        <stp>FIELD</stp>
        <stp>DDIN25</stp>
        <stp>NEG</stp>
        <tr r="G21" s="3"/>
      </tp>
      <tp t="s">
        <v>#BCONN</v>
        <stp>localhost</stp>
        <stp>BC</stp>
        <stp>FIELD</stp>
        <stp>DDIN26</stp>
        <stp>NEG</stp>
        <tr r="G25" s="3"/>
      </tp>
      <tp t="s">
        <v>#BCONN</v>
        <stp>localhost</stp>
        <stp>BC</stp>
        <stp>FIELD</stp>
        <stp>DDIN27</stp>
        <stp>NEG</stp>
        <tr r="G29" s="3"/>
      </tp>
      <tp t="e">
        <v>#VALUE!</v>
        <stp>localhost</stp>
        <stp>BC</stp>
        <stp>FIELD</stp>
        <stp>WDOF25</stp>
        <stp>DAJ</stp>
        <tr r="B29" s="7"/>
      </tp>
      <tp t="e">
        <v>#VALUE!</v>
        <stp>localhost</stp>
        <stp>BC</stp>
        <stp>FIELD</stp>
        <stp>WDOF24</stp>
        <stp>DAJ</stp>
        <tr r="B23" s="7"/>
      </tp>
      <tp t="s">
        <v>#BCONN</v>
        <stp>localhost</stp>
        <stp>BC</stp>
        <stp>FIELD</stp>
        <stp>WDOF23</stp>
        <stp>DAJ</stp>
        <tr r="B13" s="7"/>
      </tp>
      <tp t="s">
        <v>#BCONN</v>
        <stp>localhost</stp>
        <stp>BC</stp>
        <stp>FIELD</stp>
        <stp>FRCF33</stp>
        <stp>DAJ</stp>
        <tr r="B35" s="4"/>
      </tp>
      <tp t="s">
        <v>#BCONN</v>
        <stp>localhost</stp>
        <stp>BC</stp>
        <stp>FIELD</stp>
        <stp>FRCF32</stp>
        <stp>DAJ</stp>
        <tr r="B34" s="4"/>
      </tp>
      <tp t="s">
        <v>#BCONN</v>
        <stp>localhost</stp>
        <stp>BC</stp>
        <stp>FIELD</stp>
        <stp>FRCF31</stp>
        <stp>DAJ</stp>
        <tr r="B33" s="4"/>
      </tp>
      <tp t="s">
        <v>#BCONN</v>
        <stp>localhost</stp>
        <stp>BC</stp>
        <stp>FIELD</stp>
        <stp>FRCF30</stp>
        <stp>DAJ</stp>
        <tr r="B32" s="4"/>
      </tp>
      <tp t="s">
        <v>#BCONN</v>
        <stp>localhost</stp>
        <stp>BC</stp>
        <stp>FIELD</stp>
        <stp>FRCF37</stp>
        <stp>DAJ</stp>
        <tr r="B39" s="4"/>
      </tp>
      <tp t="s">
        <v>#BCONN</v>
        <stp>localhost</stp>
        <stp>BC</stp>
        <stp>FIELD</stp>
        <stp>FRCF36</stp>
        <stp>DAJ</stp>
        <tr r="B38" s="4"/>
      </tp>
      <tp t="s">
        <v>#BCONN</v>
        <stp>localhost</stp>
        <stp>BC</stp>
        <stp>FIELD</stp>
        <stp>FRCF35</stp>
        <stp>DAJ</stp>
        <tr r="B37" s="4"/>
      </tp>
      <tp t="s">
        <v>#BCONN</v>
        <stp>localhost</stp>
        <stp>BC</stp>
        <stp>FIELD</stp>
        <stp>FRCF34</stp>
        <stp>DAJ</stp>
        <tr r="B36" s="4"/>
      </tp>
      <tp t="s">
        <v>#BCONN</v>
        <stp>localhost</stp>
        <stp>BC</stp>
        <stp>FIELD</stp>
        <stp>FRCF23</stp>
        <stp>DAJ</stp>
        <tr r="B7" s="4"/>
      </tp>
      <tp t="s">
        <v>#BCONN</v>
        <stp>localhost</stp>
        <stp>BC</stp>
        <stp>FIELD</stp>
        <stp>FRCF27</stp>
        <stp>DAJ</stp>
        <tr r="B27" s="4"/>
      </tp>
      <tp t="s">
        <v>#BCONN</v>
        <stp>localhost</stp>
        <stp>BC</stp>
        <stp>FIELD</stp>
        <stp>FRCF26</stp>
        <stp>DAJ</stp>
        <tr r="B23" s="4"/>
      </tp>
      <tp t="s">
        <v>#BCONN</v>
        <stp>localhost</stp>
        <stp>BC</stp>
        <stp>FIELD</stp>
        <stp>FRCF25</stp>
        <stp>DAJ</stp>
        <tr r="B19" s="4"/>
      </tp>
      <tp t="s">
        <v>#BCONN</v>
        <stp>localhost</stp>
        <stp>BC</stp>
        <stp>FIELD</stp>
        <stp>FRCF24</stp>
        <stp>DAJ</stp>
        <tr r="B15" s="4"/>
      </tp>
      <tp t="s">
        <v>#BCONN</v>
        <stp>localhost</stp>
        <stp>BC</stp>
        <stp>FIELD</stp>
        <stp>FRCF29</stp>
        <stp>DAJ</stp>
        <tr r="B31" s="4"/>
      </tp>
      <tp t="s">
        <v>#BCONN</v>
        <stp>localhost</stp>
        <stp>BC</stp>
        <stp>FIELD</stp>
        <stp>FRCF28</stp>
        <stp>DAJ</stp>
        <tr r="B30" s="4"/>
      </tp>
      <tp t="s">
        <v>#BCONN</v>
        <stp>localhost</stp>
        <stp>BC</stp>
        <stp>FIELD</stp>
        <stp>DDIF35</stp>
        <stp>DAJ</stp>
        <tr r="B37" s="3"/>
      </tp>
      <tp t="s">
        <v>#BCONN</v>
        <stp>localhost</stp>
        <stp>BC</stp>
        <stp>FIELD</stp>
        <stp>DDIF34</stp>
        <stp>DAJ</stp>
        <tr r="B36" s="3"/>
      </tp>
      <tp t="s">
        <v>#BCONN</v>
        <stp>localhost</stp>
        <stp>BC</stp>
        <stp>FIELD</stp>
        <stp>DDIF37</stp>
        <stp>DAJ</stp>
        <tr r="B39" s="3"/>
      </tp>
      <tp t="s">
        <v>#BCONN</v>
        <stp>localhost</stp>
        <stp>BC</stp>
        <stp>FIELD</stp>
        <stp>DDIF36</stp>
        <stp>DAJ</stp>
        <tr r="B38" s="3"/>
      </tp>
      <tp t="s">
        <v>#BCONN</v>
        <stp>localhost</stp>
        <stp>BC</stp>
        <stp>FIELD</stp>
        <stp>DDIF31</stp>
        <stp>DAJ</stp>
        <tr r="B33" s="3"/>
      </tp>
      <tp t="s">
        <v>#BCONN</v>
        <stp>localhost</stp>
        <stp>BC</stp>
        <stp>FIELD</stp>
        <stp>DDIF30</stp>
        <stp>DAJ</stp>
        <tr r="B32" s="3"/>
      </tp>
      <tp t="s">
        <v>#BCONN</v>
        <stp>localhost</stp>
        <stp>BC</stp>
        <stp>FIELD</stp>
        <stp>DDIF33</stp>
        <stp>DAJ</stp>
        <tr r="B35" s="3"/>
      </tp>
      <tp t="s">
        <v>#BCONN</v>
        <stp>localhost</stp>
        <stp>BC</stp>
        <stp>FIELD</stp>
        <stp>DDIF32</stp>
        <stp>DAJ</stp>
        <tr r="B34" s="3"/>
      </tp>
      <tp t="s">
        <v>#BCONN</v>
        <stp>localhost</stp>
        <stp>BC</stp>
        <stp>FIELD</stp>
        <stp>DI1F30</stp>
        <stp>DAJ</stp>
        <tr r="B32" s="5"/>
      </tp>
      <tp t="s">
        <v>#BCONN</v>
        <stp>localhost</stp>
        <stp>BC</stp>
        <stp>FIELD</stp>
        <stp>DI1F31</stp>
        <stp>DAJ</stp>
        <tr r="B33" s="5"/>
      </tp>
      <tp t="s">
        <v>#BCONN</v>
        <stp>localhost</stp>
        <stp>BC</stp>
        <stp>FIELD</stp>
        <stp>DI1F32</stp>
        <stp>DAJ</stp>
        <tr r="B34" s="5"/>
      </tp>
      <tp t="s">
        <v>#BCONN</v>
        <stp>localhost</stp>
        <stp>BC</stp>
        <stp>FIELD</stp>
        <stp>DI1F33</stp>
        <stp>DAJ</stp>
        <tr r="B35" s="5"/>
      </tp>
      <tp t="s">
        <v>#BCONN</v>
        <stp>localhost</stp>
        <stp>BC</stp>
        <stp>FIELD</stp>
        <stp>DI1F34</stp>
        <stp>DAJ</stp>
        <tr r="B36" s="5"/>
      </tp>
      <tp t="s">
        <v>#BCONN</v>
        <stp>localhost</stp>
        <stp>BC</stp>
        <stp>FIELD</stp>
        <stp>DI1F35</stp>
        <stp>DAJ</stp>
        <tr r="B37" s="5"/>
      </tp>
      <tp t="s">
        <v>#BCONN</v>
        <stp>localhost</stp>
        <stp>BC</stp>
        <stp>FIELD</stp>
        <stp>DI1F36</stp>
        <stp>DAJ</stp>
        <tr r="B38" s="5"/>
      </tp>
      <tp t="s">
        <v>#BCONN</v>
        <stp>localhost</stp>
        <stp>BC</stp>
        <stp>FIELD</stp>
        <stp>DI1F37</stp>
        <stp>DAJ</stp>
        <tr r="B39" s="5"/>
      </tp>
      <tp t="s">
        <v>#BCONN</v>
        <stp>localhost</stp>
        <stp>BC</stp>
        <stp>FIELD</stp>
        <stp>DI1F28</stp>
        <stp>DAJ</stp>
        <tr r="B30" s="5"/>
      </tp>
      <tp t="s">
        <v>#BCONN</v>
        <stp>localhost</stp>
        <stp>BC</stp>
        <stp>FIELD</stp>
        <stp>DDIF25</stp>
        <stp>DAJ</stp>
        <tr r="B19" s="3"/>
      </tp>
      <tp t="s">
        <v>#BCONN</v>
        <stp>localhost</stp>
        <stp>BC</stp>
        <stp>FIELD</stp>
        <stp>DI1F29</stp>
        <stp>DAJ</stp>
        <tr r="B31" s="5"/>
      </tp>
      <tp t="s">
        <v>#BCONN</v>
        <stp>localhost</stp>
        <stp>BC</stp>
        <stp>FIELD</stp>
        <stp>DDIF24</stp>
        <stp>DAJ</stp>
        <tr r="B15" s="3"/>
      </tp>
      <tp t="s">
        <v>#BCONN</v>
        <stp>localhost</stp>
        <stp>BC</stp>
        <stp>FIELD</stp>
        <stp>DDIF27</stp>
        <stp>DAJ</stp>
        <tr r="B27" s="3"/>
      </tp>
      <tp t="s">
        <v>#BCONN</v>
        <stp>localhost</stp>
        <stp>BC</stp>
        <stp>FIELD</stp>
        <stp>DAPF23</stp>
        <stp>DAJ</stp>
        <tr r="B4" s="2"/>
      </tp>
      <tp t="s">
        <v>#BCONN</v>
        <stp>localhost</stp>
        <stp>BC</stp>
        <stp>FIELD</stp>
        <stp>DDIF26</stp>
        <stp>DAJ</stp>
        <tr r="B23" s="3"/>
      </tp>
      <tp t="s">
        <v>#BCONN</v>
        <stp>localhost</stp>
        <stp>BC</stp>
        <stp>FIELD</stp>
        <stp>DAPF24</stp>
        <stp>DAJ</stp>
        <tr r="B6" s="2"/>
      </tp>
      <tp t="s">
        <v>#BCONN</v>
        <stp>localhost</stp>
        <stp>BC</stp>
        <stp>FIELD</stp>
        <stp>DDIF23</stp>
        <stp>DAJ</stp>
        <tr r="B7" s="3"/>
      </tp>
      <tp t="e">
        <v>#VALUE!</v>
        <stp>localhost</stp>
        <stp>BC</stp>
        <stp>FIELD</stp>
        <stp>DOLF24</stp>
        <stp>DAJ</stp>
        <tr r="B24" s="7"/>
      </tp>
      <tp t="s">
        <v>#BCONN</v>
        <stp>localhost</stp>
        <stp>BC</stp>
        <stp>FIELD</stp>
        <stp>DI1F23</stp>
        <stp>DAJ</stp>
        <tr r="B7" s="5"/>
      </tp>
      <tp t="e">
        <v>#VALUE!</v>
        <stp>localhost</stp>
        <stp>BC</stp>
        <stp>FIELD</stp>
        <stp>DOLF25</stp>
        <stp>DAJ</stp>
        <tr r="B28" s="7"/>
      </tp>
      <tp t="s">
        <v>#BCONN</v>
        <stp>localhost</stp>
        <stp>BC</stp>
        <stp>FIELD</stp>
        <stp>DI1F24</stp>
        <stp>DAJ</stp>
        <tr r="B15" s="5"/>
      </tp>
      <tp t="s">
        <v>#BCONN</v>
        <stp>localhost</stp>
        <stp>BC</stp>
        <stp>FIELD</stp>
        <stp>DDIF29</stp>
        <stp>DAJ</stp>
        <tr r="B31" s="3"/>
      </tp>
      <tp t="s">
        <v>#BCONN</v>
        <stp>localhost</stp>
        <stp>BC</stp>
        <stp>FIELD</stp>
        <stp>DI1F25</stp>
        <stp>DAJ</stp>
        <tr r="B19" s="5"/>
      </tp>
      <tp t="s">
        <v>#BCONN</v>
        <stp>localhost</stp>
        <stp>BC</stp>
        <stp>FIELD</stp>
        <stp>DDIF28</stp>
        <stp>DAJ</stp>
        <tr r="B30" s="3"/>
      </tp>
      <tp t="s">
        <v>#BCONN</v>
        <stp>localhost</stp>
        <stp>BC</stp>
        <stp>FIELD</stp>
        <stp>DOLF23</stp>
        <stp>DAJ</stp>
        <tr r="B12" s="7"/>
      </tp>
      <tp t="s">
        <v>#BCONN</v>
        <stp>localhost</stp>
        <stp>BC</stp>
        <stp>FIELD</stp>
        <stp>DI1F26</stp>
        <stp>DAJ</stp>
        <tr r="B23" s="5"/>
      </tp>
      <tp t="s">
        <v>#BCONN</v>
        <stp>localhost</stp>
        <stp>BC</stp>
        <stp>FIELD</stp>
        <stp>DI1F27</stp>
        <stp>DAJ</stp>
        <tr r="B27" s="5"/>
      </tp>
      <tp t="s">
        <v>#BCONN</v>
        <stp>localhost</stp>
        <stp>BC</stp>
        <stp>FIELD</stp>
        <stp>WING23</stp>
        <stp>DAJ</stp>
        <tr r="B8" s="6"/>
      </tp>
      <tp t="s">
        <v>#BCONN</v>
        <stp>localhost</stp>
        <stp>BC</stp>
        <stp>FIELD</stp>
        <stp>WING24</stp>
        <stp>DAJ</stp>
        <tr r="B20" s="6"/>
      </tp>
      <tp t="s">
        <v>#BCONN</v>
        <stp>localhost</stp>
        <stp>BC</stp>
        <stp>FIELD</stp>
        <stp>WINM24</stp>
        <stp>NEG</stp>
        <tr r="G24" s="6"/>
      </tp>
      <tp t="s">
        <v>#BCONN</v>
        <stp>localhost</stp>
        <stp>BC</stp>
        <stp>FIELD</stp>
        <stp>WINM23</stp>
        <stp>NEG</stp>
        <tr r="G12" s="6"/>
      </tp>
      <tp t="s">
        <v>#BCONN</v>
        <stp>localhost</stp>
        <stp>BC</stp>
        <stp>FIELD</stp>
        <stp>INDM23</stp>
        <stp>NEG</stp>
        <tr r="G13" s="6"/>
      </tp>
      <tp t="s">
        <v>#BCONN</v>
        <stp>localhost</stp>
        <stp>BC</stp>
        <stp>FIELD</stp>
        <stp>INDM24</stp>
        <stp>NEG</stp>
        <tr r="G25" s="6"/>
      </tp>
      <tp t="s">
        <v>#BCONN</v>
        <stp>localhost</stp>
        <stp>BC</stp>
        <stp>FIELD</stp>
        <stp>INDG24</stp>
        <stp>DAJ</stp>
        <tr r="B21" s="6"/>
      </tp>
      <tp t="s">
        <v>#BCONN</v>
        <stp>localhost</stp>
        <stp>BC</stp>
        <stp>FIELD</stp>
        <stp>INDG23</stp>
        <stp>DAJ</stp>
        <tr r="B9" s="6"/>
      </tp>
      <tp t="s">
        <v>#BCONN</v>
        <stp>localhost</stp>
        <stp>BC</stp>
        <stp>FIELD</stp>
        <stp>FRCG23</stp>
        <stp>DAJ</stp>
        <tr r="B8" s="4"/>
      </tp>
      <tp t="s">
        <v>#BCONN</v>
        <stp>localhost</stp>
        <stp>BC</stp>
        <stp>FIELD</stp>
        <stp>DDIG23</stp>
        <stp>DAJ</stp>
        <tr r="B8" s="3"/>
      </tp>
      <tp t="s">
        <v>#BCONN</v>
        <stp>localhost</stp>
        <stp>BC</stp>
        <stp>FIELD</stp>
        <stp>DI1G23</stp>
        <stp>DAJ</stp>
        <tr r="B8" s="5"/>
      </tp>
      <tp t="s">
        <v>#BCONN</v>
        <stp>localhost</stp>
        <stp>BC</stp>
        <stp>FIELD</stp>
        <stp>DOLG23</stp>
        <stp>DAJ</stp>
        <tr r="B14" s="7"/>
      </tp>
      <tp t="s">
        <v>#BCONN</v>
        <stp>localhost</stp>
        <stp>BC</stp>
        <stp>FIELD</stp>
        <stp>FRCM23</stp>
        <stp>NEG</stp>
        <tr r="G12" s="4"/>
      </tp>
      <tp t="e">
        <v>#VALUE!</v>
        <stp>localhost</stp>
        <stp>BC</stp>
        <stp>FIELD</stp>
        <stp>DOLM23</stp>
        <stp>NEG</stp>
        <tr r="G19" s="7"/>
      </tp>
      <tp t="s">
        <v>#BCONN</v>
        <stp>localhost</stp>
        <stp>BC</stp>
        <stp>FIELD</stp>
        <stp>DI1M23</stp>
        <stp>NEG</stp>
        <tr r="G12" s="5"/>
      </tp>
      <tp t="s">
        <v>#BCONN</v>
        <stp>localhost</stp>
        <stp>BC</stp>
        <stp>FIELD</stp>
        <stp>DDIM23</stp>
        <stp>NEG</stp>
        <tr r="G12" s="3"/>
      </tp>
      <tp t="s">
        <v>#BCONN</v>
        <stp>localhost</stp>
        <stp>BC</stp>
        <stp>FIELD</stp>
        <stp>WINM24</stp>
        <stp>AJU</stp>
        <tr r="D24" s="6"/>
      </tp>
      <tp t="s">
        <v>#BCONN</v>
        <stp>localhost</stp>
        <stp>BC</stp>
        <stp>FIELD</stp>
        <stp>WINM23</stp>
        <stp>AJU</stp>
        <tr r="D12" s="6"/>
      </tp>
      <tp t="e">
        <v>#VALUE!</v>
        <stp>localhost</stp>
        <stp>BC</stp>
        <stp>FIELD</stp>
        <stp>DOLM23</stp>
        <stp>AJU</stp>
        <tr r="D19" s="7"/>
      </tp>
      <tp t="s">
        <v>#BCONN</v>
        <stp>localhost</stp>
        <stp>BC</stp>
        <stp>FIELD</stp>
        <stp>DI1M23</stp>
        <stp>AJU</stp>
        <tr r="D12" s="5"/>
      </tp>
      <tp t="s">
        <v>#BCONN</v>
        <stp>localhost</stp>
        <stp>BC</stp>
        <stp>FIELD</stp>
        <stp>DDIM23</stp>
        <stp>AJU</stp>
        <tr r="D12" s="3"/>
      </tp>
      <tp t="s">
        <v>#BCONN</v>
        <stp>localhost</stp>
        <stp>BC</stp>
        <stp>FIELD</stp>
        <stp>FRCM23</stp>
        <stp>AJU</stp>
        <tr r="D12" s="4"/>
      </tp>
      <tp t="s">
        <v>#BCONN</v>
        <stp>localhost</stp>
        <stp>BC</stp>
        <stp>FIELD</stp>
        <stp>FRCH23</stp>
        <stp>DAJ</stp>
        <tr r="B9" s="4"/>
      </tp>
      <tp t="s">
        <v>#BCONN</v>
        <stp>localhost</stp>
        <stp>BC</stp>
        <stp>FIELD</stp>
        <stp>DDIH23</stp>
        <stp>DAJ</stp>
        <tr r="B9" s="3"/>
      </tp>
      <tp t="s">
        <v>#BCONN</v>
        <stp>localhost</stp>
        <stp>BC</stp>
        <stp>FIELD</stp>
        <stp>DI1H23</stp>
        <stp>DAJ</stp>
        <tr r="B9" s="5"/>
      </tp>
      <tp t="s">
        <v>#BCONN</v>
        <stp>localhost</stp>
        <stp>BC</stp>
        <stp>FIELD</stp>
        <stp>DOLH23</stp>
        <stp>DAJ</stp>
        <tr r="B15" s="7"/>
      </tp>
      <tp t="s">
        <v>#BCONN</v>
        <stp>localhost</stp>
        <stp>BC</stp>
        <stp>FIELD</stp>
        <stp>INDM23</stp>
        <stp>AJU</stp>
        <tr r="D13" s="6"/>
      </tp>
      <tp t="s">
        <v>#BCONN</v>
        <stp>localhost</stp>
        <stp>BC</stp>
        <stp>FIELD</stp>
        <stp>INDM24</stp>
        <stp>AJU</stp>
        <tr r="D25" s="6"/>
      </tp>
      <tp t="s">
        <v>#BCONN</v>
        <stp>localhost</stp>
        <stp>BC</stp>
        <stp>FIELD</stp>
        <stp>DI1N25</stp>
        <stp>CNG</stp>
        <tr r="F21" s="5"/>
      </tp>
      <tp t="e">
        <v>#VALUE!</v>
        <stp>localhost</stp>
        <stp>BC</stp>
        <stp>FIELD</stp>
        <stp>DOLN23</stp>
        <stp>CNG</stp>
        <tr r="F20" s="7"/>
      </tp>
      <tp t="s">
        <v>#BCONN</v>
        <stp>localhost</stp>
        <stp>BC</stp>
        <stp>FIELD</stp>
        <stp>DI1N24</stp>
        <stp>CNG</stp>
        <tr r="F17" s="5"/>
      </tp>
      <tp t="s">
        <v>#BCONN</v>
        <stp>localhost</stp>
        <stp>BC</stp>
        <stp>FIELD</stp>
        <stp>DI1N27</stp>
        <stp>CNG</stp>
        <tr r="F29" s="5"/>
      </tp>
      <tp t="s">
        <v>#BCONN</v>
        <stp>localhost</stp>
        <stp>BC</stp>
        <stp>FIELD</stp>
        <stp>DI1N26</stp>
        <stp>CNG</stp>
        <tr r="F25" s="5"/>
      </tp>
      <tp t="s">
        <v>#BCONN</v>
        <stp>localhost</stp>
        <stp>BC</stp>
        <stp>FIELD</stp>
        <stp>DI1N23</stp>
        <stp>CNG</stp>
        <tr r="F13" s="5"/>
      </tp>
      <tp t="e">
        <v>#VALUE!</v>
        <stp>localhost</stp>
        <stp>BC</stp>
        <stp>FIELD</stp>
        <stp>DOLN25</stp>
        <stp>CNG</stp>
        <tr r="F31" s="7"/>
      </tp>
      <tp t="e">
        <v>#VALUE!</v>
        <stp>localhost</stp>
        <stp>BC</stp>
        <stp>FIELD</stp>
        <stp>DOLN24</stp>
        <stp>CNG</stp>
        <tr r="F26" s="7"/>
      </tp>
      <tp t="s">
        <v>#BCONN</v>
        <stp>localhost</stp>
        <stp>BC</stp>
        <stp>FIELD</stp>
        <stp>DDIN23</stp>
        <stp>CNG</stp>
        <tr r="F13" s="3"/>
      </tp>
      <tp t="s">
        <v>#BCONN</v>
        <stp>localhost</stp>
        <stp>BC</stp>
        <stp>FIELD</stp>
        <stp>DDIN24</stp>
        <stp>CNG</stp>
        <tr r="F17" s="3"/>
      </tp>
      <tp t="s">
        <v>#BCONN</v>
        <stp>localhost</stp>
        <stp>BC</stp>
        <stp>FIELD</stp>
        <stp>DDIN25</stp>
        <stp>CNG</stp>
        <tr r="F21" s="3"/>
      </tp>
      <tp t="s">
        <v>#BCONN</v>
        <stp>localhost</stp>
        <stp>BC</stp>
        <stp>FIELD</stp>
        <stp>DDIN26</stp>
        <stp>CNG</stp>
        <tr r="F25" s="3"/>
      </tp>
      <tp t="s">
        <v>#BCONN</v>
        <stp>localhost</stp>
        <stp>BC</stp>
        <stp>FIELD</stp>
        <stp>DDIN27</stp>
        <stp>CNG</stp>
        <tr r="F29" s="3"/>
      </tp>
      <tp t="s">
        <v>#BCONN</v>
        <stp>localhost</stp>
        <stp>BC</stp>
        <stp>FIELD</stp>
        <stp>FRCN26</stp>
        <stp>CNG</stp>
        <tr r="F25" s="4"/>
      </tp>
      <tp t="s">
        <v>#BCONN</v>
        <stp>localhost</stp>
        <stp>BC</stp>
        <stp>FIELD</stp>
        <stp>FRCN27</stp>
        <stp>CNG</stp>
        <tr r="F29" s="4"/>
      </tp>
      <tp t="s">
        <v>#BCONN</v>
        <stp>localhost</stp>
        <stp>BC</stp>
        <stp>FIELD</stp>
        <stp>FRCN24</stp>
        <stp>CNG</stp>
        <tr r="F17" s="4"/>
      </tp>
      <tp t="s">
        <v>#BCONN</v>
        <stp>localhost</stp>
        <stp>BC</stp>
        <stp>FIELD</stp>
        <stp>FRCN25</stp>
        <stp>CNG</stp>
        <tr r="F21" s="4"/>
      </tp>
      <tp t="s">
        <v>#BCONN</v>
        <stp>localhost</stp>
        <stp>BC</stp>
        <stp>FIELD</stp>
        <stp>FRCN23</stp>
        <stp>CNG</stp>
        <tr r="F13" s="4"/>
      </tp>
      <tp t="s">
        <v>#BCONN</v>
        <stp>localhost</stp>
        <stp>BC</stp>
        <stp>FIELD</stp>
        <stp>FRCN23</stp>
        <stp>CAB</stp>
        <tr r="E13" s="4"/>
      </tp>
      <tp t="s">
        <v>#BCONN</v>
        <stp>localhost</stp>
        <stp>BC</stp>
        <stp>FIELD</stp>
        <stp>FRCN27</stp>
        <stp>CAB</stp>
        <tr r="E29" s="4"/>
      </tp>
      <tp t="s">
        <v>#BCONN</v>
        <stp>localhost</stp>
        <stp>BC</stp>
        <stp>FIELD</stp>
        <stp>FRCN26</stp>
        <stp>CAB</stp>
        <tr r="E25" s="4"/>
      </tp>
      <tp t="s">
        <v>#BCONN</v>
        <stp>localhost</stp>
        <stp>BC</stp>
        <stp>FIELD</stp>
        <stp>FRCN25</stp>
        <stp>CAB</stp>
        <tr r="E21" s="4"/>
      </tp>
      <tp t="s">
        <v>#BCONN</v>
        <stp>localhost</stp>
        <stp>BC</stp>
        <stp>FIELD</stp>
        <stp>FRCN24</stp>
        <stp>CAB</stp>
        <tr r="E17" s="4"/>
      </tp>
      <tp t="e">
        <v>#VALUE!</v>
        <stp>localhost</stp>
        <stp>BC</stp>
        <stp>FIELD</stp>
        <stp>DOLN24</stp>
        <stp>CAB</stp>
        <tr r="E26" s="7"/>
      </tp>
      <tp t="s">
        <v>#BCONN</v>
        <stp>localhost</stp>
        <stp>BC</stp>
        <stp>FIELD</stp>
        <stp>DI1N23</stp>
        <stp>CAB</stp>
        <tr r="E13" s="5"/>
      </tp>
      <tp t="e">
        <v>#VALUE!</v>
        <stp>localhost</stp>
        <stp>BC</stp>
        <stp>FIELD</stp>
        <stp>DOLN25</stp>
        <stp>CAB</stp>
        <tr r="E31" s="7"/>
      </tp>
      <tp t="s">
        <v>#BCONN</v>
        <stp>localhost</stp>
        <stp>BC</stp>
        <stp>FIELD</stp>
        <stp>DI1N24</stp>
        <stp>CAB</stp>
        <tr r="E17" s="5"/>
      </tp>
      <tp t="s">
        <v>#BCONN</v>
        <stp>localhost</stp>
        <stp>BC</stp>
        <stp>FIELD</stp>
        <stp>DI1N25</stp>
        <stp>CAB</stp>
        <tr r="E21" s="5"/>
      </tp>
      <tp t="e">
        <v>#VALUE!</v>
        <stp>localhost</stp>
        <stp>BC</stp>
        <stp>FIELD</stp>
        <stp>DOLN23</stp>
        <stp>CAB</stp>
        <tr r="E20" s="7"/>
      </tp>
      <tp t="s">
        <v>#BCONN</v>
        <stp>localhost</stp>
        <stp>BC</stp>
        <stp>FIELD</stp>
        <stp>DI1N26</stp>
        <stp>CAB</stp>
        <tr r="E25" s="5"/>
      </tp>
      <tp t="s">
        <v>#BCONN</v>
        <stp>localhost</stp>
        <stp>BC</stp>
        <stp>FIELD</stp>
        <stp>DI1N27</stp>
        <stp>CAB</stp>
        <tr r="E29" s="5"/>
      </tp>
      <tp t="s">
        <v>#BCONN</v>
        <stp>localhost</stp>
        <stp>BC</stp>
        <stp>FIELD</stp>
        <stp>DDIN25</stp>
        <stp>CAB</stp>
        <tr r="E21" s="3"/>
      </tp>
      <tp t="s">
        <v>#BCONN</v>
        <stp>localhost</stp>
        <stp>BC</stp>
        <stp>FIELD</stp>
        <stp>DDIN24</stp>
        <stp>CAB</stp>
        <tr r="E17" s="3"/>
      </tp>
      <tp t="s">
        <v>#BCONN</v>
        <stp>localhost</stp>
        <stp>BC</stp>
        <stp>FIELD</stp>
        <stp>DDIN27</stp>
        <stp>CAB</stp>
        <tr r="E29" s="3"/>
      </tp>
      <tp t="s">
        <v>#BCONN</v>
        <stp>localhost</stp>
        <stp>BC</stp>
        <stp>FIELD</stp>
        <stp>DDIN26</stp>
        <stp>CAB</stp>
        <tr r="E25" s="3"/>
      </tp>
      <tp t="s">
        <v>#BCONN</v>
        <stp>localhost</stp>
        <stp>BC</stp>
        <stp>FIELD</stp>
        <stp>DDIN23</stp>
        <stp>CAB</stp>
        <tr r="E13" s="3"/>
      </tp>
      <tp t="s">
        <v>#BCONN</v>
        <stp>localhost</stp>
        <stp>BC</stp>
        <stp>FIELD</stp>
        <stp>WINM24</stp>
        <stp>CNG</stp>
        <tr r="F24" s="6"/>
      </tp>
      <tp t="s">
        <v>#BCONN</v>
        <stp>localhost</stp>
        <stp>BC</stp>
        <stp>FIELD</stp>
        <stp>WINM23</stp>
        <stp>CNG</stp>
        <tr r="F12" s="6"/>
      </tp>
      <tp t="s">
        <v>#BCONN</v>
        <stp>localhost</stp>
        <stp>BC</stp>
        <stp>FIELD</stp>
        <stp>WINM23</stp>
        <stp>CAB</stp>
        <tr r="E12" s="6"/>
      </tp>
      <tp t="s">
        <v>#BCONN</v>
        <stp>localhost</stp>
        <stp>BC</stp>
        <stp>FIELD</stp>
        <stp>WINM24</stp>
        <stp>CAB</stp>
        <tr r="E24" s="6"/>
      </tp>
      <tp t="e">
        <v>#VALUE!</v>
        <stp>localhost</stp>
        <stp>BC</stp>
        <stp>FIELD</stp>
        <stp>WDOJ23</stp>
        <stp>DAJ</stp>
        <tr r="B17" s="7"/>
      </tp>
      <tp t="s">
        <v>#BCONN</v>
        <stp>localhost</stp>
        <stp>BC</stp>
        <stp>FIELD</stp>
        <stp>WINJ23</stp>
        <stp>DAJ</stp>
        <tr r="B11" s="6"/>
      </tp>
      <tp t="s">
        <v>#BCONN</v>
        <stp>localhost</stp>
        <stp>BC</stp>
        <stp>FIELD</stp>
        <stp>WINJ24</stp>
        <stp>DAJ</stp>
        <tr r="B23" s="6"/>
      </tp>
      <tp t="e">
        <v>#VALUE!</v>
        <stp>localhost</stp>
        <stp>BC</stp>
        <stp>FIELD</stp>
        <stp>DOLM23</stp>
        <stp>CNG</stp>
        <tr r="F19" s="7"/>
      </tp>
      <tp t="s">
        <v>#BCONN</v>
        <stp>localhost</stp>
        <stp>BC</stp>
        <stp>FIELD</stp>
        <stp>DI1M23</stp>
        <stp>CNG</stp>
        <tr r="F12" s="5"/>
      </tp>
      <tp t="s">
        <v>#BCONN</v>
        <stp>localhost</stp>
        <stp>BC</stp>
        <stp>FIELD</stp>
        <stp>DDIM23</stp>
        <stp>CNG</stp>
        <tr r="F12" s="3"/>
      </tp>
      <tp t="s">
        <v>#BCONN</v>
        <stp>localhost</stp>
        <stp>BC</stp>
        <stp>FIELD</stp>
        <stp>INDM24</stp>
        <stp>CAB</stp>
        <tr r="E25" s="6"/>
      </tp>
      <tp t="s">
        <v>#BCONN</v>
        <stp>localhost</stp>
        <stp>BC</stp>
        <stp>FIELD</stp>
        <stp>INDM23</stp>
        <stp>CAB</stp>
        <tr r="E13" s="6"/>
      </tp>
      <tp t="s">
        <v>#BCONN</v>
        <stp>localhost</stp>
        <stp>BC</stp>
        <stp>FIELD</stp>
        <stp>INDJ24</stp>
        <stp>DAJ</stp>
        <tr r="B22" s="6"/>
      </tp>
      <tp t="s">
        <v>#BCONN</v>
        <stp>localhost</stp>
        <stp>BC</stp>
        <stp>FIELD</stp>
        <stp>INDJ23</stp>
        <stp>DAJ</stp>
        <tr r="B10" s="6"/>
      </tp>
      <tp t="s">
        <v>#BCONN</v>
        <stp>localhost</stp>
        <stp>BC</stp>
        <stp>FIELD</stp>
        <stp>FRCM23</stp>
        <stp>CNG</stp>
        <tr r="F12" s="4"/>
      </tp>
      <tp t="s">
        <v>#BCONN</v>
        <stp>localhost</stp>
        <stp>BC</stp>
        <stp>FIELD</stp>
        <stp>INDM23</stp>
        <stp>CNG</stp>
        <tr r="F13" s="6"/>
      </tp>
      <tp t="s">
        <v>#BCONN</v>
        <stp>localhost</stp>
        <stp>BC</stp>
        <stp>FIELD</stp>
        <stp>INDM24</stp>
        <stp>CNG</stp>
        <tr r="F25" s="6"/>
      </tp>
      <tp t="s">
        <v>#BCONN</v>
        <stp>localhost</stp>
        <stp>BC</stp>
        <stp>FIELD</stp>
        <stp>FRCJ23</stp>
        <stp>DAJ</stp>
        <tr r="B10" s="4"/>
      </tp>
      <tp t="s">
        <v>#BCONN</v>
        <stp>localhost</stp>
        <stp>BC</stp>
        <stp>FIELD</stp>
        <stp>FRCJ27</stp>
        <stp>DAJ</stp>
        <tr r="B28" s="4"/>
      </tp>
      <tp t="s">
        <v>#BCONN</v>
        <stp>localhost</stp>
        <stp>BC</stp>
        <stp>FIELD</stp>
        <stp>FRCJ26</stp>
        <stp>DAJ</stp>
        <tr r="B24" s="4"/>
      </tp>
      <tp t="s">
        <v>#BCONN</v>
        <stp>localhost</stp>
        <stp>BC</stp>
        <stp>FIELD</stp>
        <stp>FRCJ25</stp>
        <stp>DAJ</stp>
        <tr r="B20" s="4"/>
      </tp>
      <tp t="s">
        <v>#BCONN</v>
        <stp>localhost</stp>
        <stp>BC</stp>
        <stp>FIELD</stp>
        <stp>FRCJ24</stp>
        <stp>DAJ</stp>
        <tr r="B16" s="4"/>
      </tp>
      <tp t="s">
        <v>#BCONN</v>
        <stp>localhost</stp>
        <stp>BC</stp>
        <stp>FIELD</stp>
        <stp>FRCM23</stp>
        <stp>CAB</stp>
        <tr r="E12" s="4"/>
      </tp>
      <tp t="s">
        <v>#BCONN</v>
        <stp>localhost</stp>
        <stp>BC</stp>
        <stp>FIELD</stp>
        <stp>DDIJ25</stp>
        <stp>DAJ</stp>
        <tr r="B20" s="3"/>
      </tp>
      <tp t="s">
        <v>#BCONN</v>
        <stp>localhost</stp>
        <stp>BC</stp>
        <stp>FIELD</stp>
        <stp>DDIJ24</stp>
        <stp>DAJ</stp>
        <tr r="B16" s="3"/>
      </tp>
      <tp t="s">
        <v>#BCONN</v>
        <stp>localhost</stp>
        <stp>BC</stp>
        <stp>FIELD</stp>
        <stp>DDIJ27</stp>
        <stp>DAJ</stp>
        <tr r="B28" s="3"/>
      </tp>
      <tp t="s">
        <v>#BCONN</v>
        <stp>localhost</stp>
        <stp>BC</stp>
        <stp>FIELD</stp>
        <stp>DI1M23</stp>
        <stp>CAB</stp>
        <tr r="E12" s="5"/>
      </tp>
      <tp t="s">
        <v>#BCONN</v>
        <stp>localhost</stp>
        <stp>BC</stp>
        <stp>FIELD</stp>
        <stp>DDIJ26</stp>
        <stp>DAJ</stp>
        <tr r="B24" s="3"/>
      </tp>
      <tp t="e">
        <v>#VALUE!</v>
        <stp>localhost</stp>
        <stp>BC</stp>
        <stp>FIELD</stp>
        <stp>DOLM23</stp>
        <stp>CAB</stp>
        <tr r="E19" s="7"/>
      </tp>
      <tp t="s">
        <v>#BCONN</v>
        <stp>localhost</stp>
        <stp>BC</stp>
        <stp>FIELD</stp>
        <stp>DDIJ23</stp>
        <stp>DAJ</stp>
        <tr r="B10" s="3"/>
      </tp>
      <tp t="e">
        <v>#VALUE!</v>
        <stp>localhost</stp>
        <stp>BC</stp>
        <stp>FIELD</stp>
        <stp>DOLJ24</stp>
        <stp>DAJ</stp>
        <tr r="B25" s="7"/>
      </tp>
      <tp t="s">
        <v>#BCONN</v>
        <stp>localhost</stp>
        <stp>BC</stp>
        <stp>FIELD</stp>
        <stp>DI1J23</stp>
        <stp>DAJ</stp>
        <tr r="B10" s="5"/>
      </tp>
      <tp t="e">
        <v>#VALUE!</v>
        <stp>localhost</stp>
        <stp>BC</stp>
        <stp>FIELD</stp>
        <stp>DOLJ25</stp>
        <stp>DAJ</stp>
        <tr r="B30" s="7"/>
      </tp>
      <tp t="s">
        <v>#BCONN</v>
        <stp>localhost</stp>
        <stp>BC</stp>
        <stp>FIELD</stp>
        <stp>DI1J24</stp>
        <stp>DAJ</stp>
        <tr r="B16" s="5"/>
      </tp>
      <tp t="s">
        <v>#BCONN</v>
        <stp>localhost</stp>
        <stp>BC</stp>
        <stp>FIELD</stp>
        <stp>DI1J25</stp>
        <stp>DAJ</stp>
        <tr r="B20" s="5"/>
      </tp>
      <tp t="e">
        <v>#VALUE!</v>
        <stp>localhost</stp>
        <stp>BC</stp>
        <stp>FIELD</stp>
        <stp>DOLJ23</stp>
        <stp>DAJ</stp>
        <tr r="B16" s="7"/>
      </tp>
      <tp t="s">
        <v>#BCONN</v>
        <stp>localhost</stp>
        <stp>BC</stp>
        <stp>FIELD</stp>
        <stp>DI1J26</stp>
        <stp>DAJ</stp>
        <tr r="B24" s="5"/>
      </tp>
      <tp t="s">
        <v>#BCONN</v>
        <stp>localhost</stp>
        <stp>BC</stp>
        <stp>FIELD</stp>
        <stp>DDIM23</stp>
        <stp>CAB</stp>
        <tr r="E12" s="3"/>
      </tp>
      <tp t="s">
        <v>#BCONN</v>
        <stp>localhost</stp>
        <stp>BC</stp>
        <stp>FIELD</stp>
        <stp>DI1J27</stp>
        <stp>DAJ</stp>
        <tr r="B28" s="5"/>
      </tp>
      <tp t="s">
        <v>#BCONN</v>
        <stp>localhost</stp>
        <stp>BC</stp>
        <stp>FIELD</stp>
        <stp>DI1N27</stp>
        <stp>AJU</stp>
        <tr r="D29" s="5"/>
      </tp>
      <tp t="s">
        <v>#BCONN</v>
        <stp>localhost</stp>
        <stp>BC</stp>
        <stp>FIELD</stp>
        <stp>DI1N26</stp>
        <stp>AJU</stp>
        <tr r="D25" s="5"/>
      </tp>
      <tp t="s">
        <v>#BCONN</v>
        <stp>localhost</stp>
        <stp>BC</stp>
        <stp>FIELD</stp>
        <stp>DI1N25</stp>
        <stp>AJU</stp>
        <tr r="D21" s="5"/>
      </tp>
      <tp t="e">
        <v>#VALUE!</v>
        <stp>localhost</stp>
        <stp>BC</stp>
        <stp>FIELD</stp>
        <stp>DOLN23</stp>
        <stp>AJU</stp>
        <tr r="D20" s="7"/>
      </tp>
      <tp t="s">
        <v>#BCONN</v>
        <stp>localhost</stp>
        <stp>BC</stp>
        <stp>FIELD</stp>
        <stp>DI1N24</stp>
        <stp>AJU</stp>
        <tr r="D17" s="5"/>
      </tp>
      <tp t="s">
        <v>#BCONN</v>
        <stp>localhost</stp>
        <stp>BC</stp>
        <stp>FIELD</stp>
        <stp>DI1N23</stp>
        <stp>AJU</stp>
        <tr r="D13" s="5"/>
      </tp>
      <tp t="e">
        <v>#VALUE!</v>
        <stp>localhost</stp>
        <stp>BC</stp>
        <stp>FIELD</stp>
        <stp>DOLN25</stp>
        <stp>AJU</stp>
        <tr r="D31" s="7"/>
      </tp>
      <tp t="e">
        <v>#VALUE!</v>
        <stp>localhost</stp>
        <stp>BC</stp>
        <stp>FIELD</stp>
        <stp>DOLN24</stp>
        <stp>AJU</stp>
        <tr r="D26" s="7"/>
      </tp>
      <tp t="s">
        <v>#BCONN</v>
        <stp>localhost</stp>
        <stp>BC</stp>
        <stp>FIELD</stp>
        <stp>DDIN23</stp>
        <stp>AJU</stp>
        <tr r="D13" s="3"/>
      </tp>
      <tp t="s">
        <v>#BCONN</v>
        <stp>localhost</stp>
        <stp>BC</stp>
        <stp>FIELD</stp>
        <stp>DDIN26</stp>
        <stp>AJU</stp>
        <tr r="D25" s="3"/>
      </tp>
      <tp t="s">
        <v>#BCONN</v>
        <stp>localhost</stp>
        <stp>BC</stp>
        <stp>FIELD</stp>
        <stp>DDIN27</stp>
        <stp>AJU</stp>
        <tr r="D29" s="3"/>
      </tp>
      <tp t="s">
        <v>#BCONN</v>
        <stp>localhost</stp>
        <stp>BC</stp>
        <stp>FIELD</stp>
        <stp>DDIN24</stp>
        <stp>AJU</stp>
        <tr r="D17" s="3"/>
      </tp>
      <tp t="s">
        <v>#BCONN</v>
        <stp>localhost</stp>
        <stp>BC</stp>
        <stp>FIELD</stp>
        <stp>DDIN25</stp>
        <stp>AJU</stp>
        <tr r="D21" s="3"/>
      </tp>
      <tp t="s">
        <v>#BCONN</v>
        <stp>localhost</stp>
        <stp>BC</stp>
        <stp>FIELD</stp>
        <stp>FRCN24</stp>
        <stp>AJU</stp>
        <tr r="D17" s="4"/>
      </tp>
      <tp t="s">
        <v>#BCONN</v>
        <stp>localhost</stp>
        <stp>BC</stp>
        <stp>FIELD</stp>
        <stp>FRCN25</stp>
        <stp>AJU</stp>
        <tr r="D21" s="4"/>
      </tp>
      <tp t="s">
        <v>#BCONN</v>
        <stp>localhost</stp>
        <stp>BC</stp>
        <stp>FIELD</stp>
        <stp>FRCN26</stp>
        <stp>AJU</stp>
        <tr r="D25" s="4"/>
      </tp>
      <tp t="s">
        <v>#BCONN</v>
        <stp>localhost</stp>
        <stp>BC</stp>
        <stp>FIELD</stp>
        <stp>FRCN27</stp>
        <stp>AJU</stp>
        <tr r="D29" s="4"/>
      </tp>
      <tp t="s">
        <v>#BCONN</v>
        <stp>localhost</stp>
        <stp>BC</stp>
        <stp>FIELD</stp>
        <stp>FRCN23</stp>
        <stp>AJU</stp>
        <tr r="D13" s="4"/>
      </tp>
      <tp t="s">
        <v>#BCONN</v>
        <stp>localhost</stp>
        <stp>BC</stp>
        <stp>FIELD</stp>
        <stp>FRCK23</stp>
        <stp>DAJ</stp>
        <tr r="B11" s="4"/>
      </tp>
      <tp t="s">
        <v>#BCONN</v>
        <stp>localhost</stp>
        <stp>BC</stp>
        <stp>FIELD</stp>
        <stp>DAPK35</stp>
        <stp>DAJ</stp>
        <tr r="B14" s="2"/>
      </tp>
      <tp t="s">
        <v>#BCONN</v>
        <stp>localhost</stp>
        <stp>BC</stp>
        <stp>FIELD</stp>
        <stp>DAPK23</stp>
        <stp>DAJ</stp>
        <tr r="B5" s="2"/>
      </tp>
      <tp t="s">
        <v>#BCONN</v>
        <stp>localhost</stp>
        <stp>BC</stp>
        <stp>FIELD</stp>
        <stp>DAPK25</stp>
        <stp>DAJ</stp>
        <tr r="B8" s="2"/>
      </tp>
      <tp t="s">
        <v>#BCONN</v>
        <stp>localhost</stp>
        <stp>BC</stp>
        <stp>FIELD</stp>
        <stp>DDIK23</stp>
        <stp>DAJ</stp>
        <tr r="B11" s="3"/>
      </tp>
      <tp t="s">
        <v>#BCONN</v>
        <stp>localhost</stp>
        <stp>BC</stp>
        <stp>FIELD</stp>
        <stp>DAPK27</stp>
        <stp>DAJ</stp>
        <tr r="B10" s="2"/>
      </tp>
      <tp t="s">
        <v>#BCONN</v>
        <stp>localhost</stp>
        <stp>BC</stp>
        <stp>FIELD</stp>
        <stp>DI1K23</stp>
        <stp>DAJ</stp>
        <tr r="B11" s="5"/>
      </tp>
      <tp t="e">
        <v>#VALUE!</v>
        <stp>localhost</stp>
        <stp>BC</stp>
        <stp>FIELD</stp>
        <stp>DOLK23</stp>
        <stp>DAJ</stp>
        <tr r="B18" s="7"/>
      </tp>
      <tp t="s">
        <v>#BCONN</v>
        <stp>localhost</stp>
        <stp>BC</stp>
        <stp>FIELD</stp>
        <stp>DAPK55</stp>
        <stp>DAJ</stp>
        <tr r="B18" s="2"/>
      </tp>
      <tp t="s">
        <v>#BCONN</v>
        <stp>localhost</stp>
        <stp>BC</stp>
        <stp>FIELD</stp>
        <stp>DAPK45</stp>
        <stp>DAJ</stp>
        <tr r="B16" s="2"/>
      </tp>
      <tp t="s">
        <v>#BCONN</v>
        <stp>localhost</stp>
        <stp>BC</stp>
        <stp>FIELD</stp>
        <stp>WDOF23</stp>
        <stp>NEG</stp>
        <tr r="G13" s="7"/>
      </tp>
      <tp t="e">
        <v>#VALUE!</v>
        <stp>localhost</stp>
        <stp>BC</stp>
        <stp>FIELD</stp>
        <stp>WDOF24</stp>
        <stp>NEG</stp>
        <tr r="G23" s="7"/>
      </tp>
      <tp t="e">
        <v>#VALUE!</v>
        <stp>localhost</stp>
        <stp>BC</stp>
        <stp>FIELD</stp>
        <stp>WDOF25</stp>
        <stp>NEG</stp>
        <tr r="G29" s="7"/>
      </tp>
      <tp t="s">
        <v>#BCONN</v>
        <stp>localhost</stp>
        <stp>BC</stp>
        <stp>FIELD</stp>
        <stp>DAPK45</stp>
        <stp>CNG</stp>
        <tr r="F16" s="2"/>
      </tp>
      <tp t="s">
        <v>#BCONN</v>
        <stp>localhost</stp>
        <stp>BC</stp>
        <stp>FIELD</stp>
        <stp>DAPK55</stp>
        <stp>CNG</stp>
        <tr r="F18" s="2"/>
      </tp>
      <tp t="e">
        <v>#VALUE!</v>
        <stp>localhost</stp>
        <stp>BC</stp>
        <stp>FIELD</stp>
        <stp>DOLK23</stp>
        <stp>CNG</stp>
        <tr r="F18" s="7"/>
      </tp>
      <tp t="s">
        <v>#BCONN</v>
        <stp>localhost</stp>
        <stp>BC</stp>
        <stp>FIELD</stp>
        <stp>DI1K23</stp>
        <stp>CNG</stp>
        <tr r="F11" s="5"/>
      </tp>
      <tp t="s">
        <v>#BCONN</v>
        <stp>localhost</stp>
        <stp>BC</stp>
        <stp>FIELD</stp>
        <stp>DAPK25</stp>
        <stp>CNG</stp>
        <tr r="F8" s="2"/>
      </tp>
      <tp t="s">
        <v>#BCONN</v>
        <stp>localhost</stp>
        <stp>BC</stp>
        <stp>FIELD</stp>
        <stp>DAPK27</stp>
        <stp>CNG</stp>
        <tr r="F10" s="2"/>
      </tp>
      <tp t="s">
        <v>#BCONN</v>
        <stp>localhost</stp>
        <stp>BC</stp>
        <stp>FIELD</stp>
        <stp>DDIK23</stp>
        <stp>CNG</stp>
        <tr r="F11" s="3"/>
      </tp>
      <tp t="s">
        <v>#BCONN</v>
        <stp>localhost</stp>
        <stp>BC</stp>
        <stp>FIELD</stp>
        <stp>DAPK23</stp>
        <stp>CNG</stp>
        <tr r="F5" s="2"/>
      </tp>
      <tp t="s">
        <v>#BCONN</v>
        <stp>localhost</stp>
        <stp>BC</stp>
        <stp>FIELD</stp>
        <stp>DAPK35</stp>
        <stp>CNG</stp>
        <tr r="F14" s="2"/>
      </tp>
      <tp t="s">
        <v>#BCONN</v>
        <stp>localhost</stp>
        <stp>BC</stp>
        <stp>FIELD</stp>
        <stp>FRCK23</stp>
        <stp>CNG</stp>
        <tr r="F11" s="4"/>
      </tp>
      <tp t="s">
        <v>#BCONN</v>
        <stp>localhost</stp>
        <stp>BC</stp>
        <stp>FIELD</stp>
        <stp>FRCK23</stp>
        <stp>CAB</stp>
        <tr r="E11" s="4"/>
      </tp>
      <tp t="s">
        <v>#BCONN</v>
        <stp>localhost</stp>
        <stp>BC</stp>
        <stp>FIELD</stp>
        <stp>DAPK35</stp>
        <stp>CAB</stp>
        <tr r="E14" s="2"/>
      </tp>
      <tp t="s">
        <v>#BCONN</v>
        <stp>localhost</stp>
        <stp>BC</stp>
        <stp>FIELD</stp>
        <stp>DI1K23</stp>
        <stp>CAB</stp>
        <tr r="E11" s="5"/>
      </tp>
      <tp t="e">
        <v>#VALUE!</v>
        <stp>localhost</stp>
        <stp>BC</stp>
        <stp>FIELD</stp>
        <stp>DOLK23</stp>
        <stp>CAB</stp>
        <tr r="E18" s="7"/>
      </tp>
      <tp t="s">
        <v>#BCONN</v>
        <stp>localhost</stp>
        <stp>BC</stp>
        <stp>FIELD</stp>
        <stp>DAPK23</stp>
        <stp>CAB</stp>
        <tr r="E5" s="2"/>
      </tp>
      <tp t="s">
        <v>#BCONN</v>
        <stp>localhost</stp>
        <stp>BC</stp>
        <stp>FIELD</stp>
        <stp>DAPK25</stp>
        <stp>CAB</stp>
        <tr r="E8" s="2"/>
      </tp>
      <tp t="s">
        <v>#BCONN</v>
        <stp>localhost</stp>
        <stp>BC</stp>
        <stp>FIELD</stp>
        <stp>DDIK23</stp>
        <stp>CAB</stp>
        <tr r="E11" s="3"/>
      </tp>
      <tp t="s">
        <v>#BCONN</v>
        <stp>localhost</stp>
        <stp>BC</stp>
        <stp>FIELD</stp>
        <stp>DAPK27</stp>
        <stp>CAB</stp>
        <tr r="E10" s="2"/>
      </tp>
      <tp t="s">
        <v>#BCONN</v>
        <stp>localhost</stp>
        <stp>BC</stp>
        <stp>FIELD</stp>
        <stp>DAPK55</stp>
        <stp>CAB</stp>
        <tr r="E18" s="2"/>
      </tp>
      <tp t="s">
        <v>#BCONN</v>
        <stp>localhost</stp>
        <stp>BC</stp>
        <stp>FIELD</stp>
        <stp>FRCF36</stp>
        <stp>NEG</stp>
        <tr r="G38" s="4"/>
      </tp>
      <tp t="s">
        <v>#BCONN</v>
        <stp>localhost</stp>
        <stp>BC</stp>
        <stp>FIELD</stp>
        <stp>FRCF37</stp>
        <stp>NEG</stp>
        <tr r="G39" s="4"/>
      </tp>
      <tp t="s">
        <v>#BCONN</v>
        <stp>localhost</stp>
        <stp>BC</stp>
        <stp>FIELD</stp>
        <stp>FRCF34</stp>
        <stp>NEG</stp>
        <tr r="G36" s="4"/>
      </tp>
      <tp t="s">
        <v>#BCONN</v>
        <stp>localhost</stp>
        <stp>BC</stp>
        <stp>FIELD</stp>
        <stp>FRCF35</stp>
        <stp>NEG</stp>
        <tr r="G37" s="4"/>
      </tp>
      <tp t="s">
        <v>#BCONN</v>
        <stp>localhost</stp>
        <stp>BC</stp>
        <stp>FIELD</stp>
        <stp>FRCF32</stp>
        <stp>NEG</stp>
        <tr r="G34" s="4"/>
      </tp>
      <tp t="s">
        <v>#BCONN</v>
        <stp>localhost</stp>
        <stp>BC</stp>
        <stp>FIELD</stp>
        <stp>FRCF33</stp>
        <stp>NEG</stp>
        <tr r="G35" s="4"/>
      </tp>
      <tp t="s">
        <v>#BCONN</v>
        <stp>localhost</stp>
        <stp>BC</stp>
        <stp>FIELD</stp>
        <stp>FRCF30</stp>
        <stp>NEG</stp>
        <tr r="G32" s="4"/>
      </tp>
      <tp t="s">
        <v>#BCONN</v>
        <stp>localhost</stp>
        <stp>BC</stp>
        <stp>FIELD</stp>
        <stp>FRCF31</stp>
        <stp>NEG</stp>
        <tr r="G33" s="4"/>
      </tp>
      <tp t="s">
        <v>#BCONN</v>
        <stp>localhost</stp>
        <stp>BC</stp>
        <stp>FIELD</stp>
        <stp>DAPK45</stp>
        <stp>CAB</stp>
        <tr r="E16" s="2"/>
      </tp>
      <tp t="s">
        <v>#BCONN</v>
        <stp>localhost</stp>
        <stp>BC</stp>
        <stp>FIELD</stp>
        <stp>FRCF28</stp>
        <stp>NEG</stp>
        <tr r="G30" s="4"/>
      </tp>
      <tp t="s">
        <v>#BCONN</v>
        <stp>localhost</stp>
        <stp>BC</stp>
        <stp>FIELD</stp>
        <stp>FRCF29</stp>
        <stp>NEG</stp>
        <tr r="G31" s="4"/>
      </tp>
      <tp t="s">
        <v>#BCONN</v>
        <stp>localhost</stp>
        <stp>BC</stp>
        <stp>FIELD</stp>
        <stp>FRCF26</stp>
        <stp>NEG</stp>
        <tr r="G23" s="4"/>
      </tp>
      <tp t="s">
        <v>#BCONN</v>
        <stp>localhost</stp>
        <stp>BC</stp>
        <stp>FIELD</stp>
        <stp>FRCF27</stp>
        <stp>NEG</stp>
        <tr r="G27" s="4"/>
      </tp>
      <tp t="s">
        <v>#BCONN</v>
        <stp>localhost</stp>
        <stp>BC</stp>
        <stp>FIELD</stp>
        <stp>FRCF24</stp>
        <stp>NEG</stp>
        <tr r="G15" s="4"/>
      </tp>
      <tp t="s">
        <v>#BCONN</v>
        <stp>localhost</stp>
        <stp>BC</stp>
        <stp>FIELD</stp>
        <stp>FRCF25</stp>
        <stp>NEG</stp>
        <tr r="G19" s="4"/>
      </tp>
      <tp t="s">
        <v>#BCONN</v>
        <stp>localhost</stp>
        <stp>BC</stp>
        <stp>FIELD</stp>
        <stp>FRCF23</stp>
        <stp>NEG</stp>
        <tr r="G7" s="4"/>
      </tp>
      <tp t="s">
        <v>#BCONN</v>
        <stp>localhost</stp>
        <stp>BC</stp>
        <stp>FIELD</stp>
        <stp>DI1F35</stp>
        <stp>NEG</stp>
        <tr r="G37" s="5"/>
      </tp>
      <tp t="s">
        <v>#BCONN</v>
        <stp>localhost</stp>
        <stp>BC</stp>
        <stp>FIELD</stp>
        <stp>DI1F34</stp>
        <stp>NEG</stp>
        <tr r="G36" s="5"/>
      </tp>
      <tp t="s">
        <v>#BCONN</v>
        <stp>localhost</stp>
        <stp>BC</stp>
        <stp>FIELD</stp>
        <stp>DI1F37</stp>
        <stp>NEG</stp>
        <tr r="G39" s="5"/>
      </tp>
      <tp t="s">
        <v>#BCONN</v>
        <stp>localhost</stp>
        <stp>BC</stp>
        <stp>FIELD</stp>
        <stp>DI1F36</stp>
        <stp>NEG</stp>
        <tr r="G38" s="5"/>
      </tp>
      <tp t="s">
        <v>#BCONN</v>
        <stp>localhost</stp>
        <stp>BC</stp>
        <stp>FIELD</stp>
        <stp>DI1F31</stp>
        <stp>NEG</stp>
        <tr r="G33" s="5"/>
      </tp>
      <tp t="s">
        <v>#BCONN</v>
        <stp>localhost</stp>
        <stp>BC</stp>
        <stp>FIELD</stp>
        <stp>DI1F30</stp>
        <stp>NEG</stp>
        <tr r="G32" s="5"/>
      </tp>
      <tp t="s">
        <v>#BCONN</v>
        <stp>localhost</stp>
        <stp>BC</stp>
        <stp>FIELD</stp>
        <stp>DI1F33</stp>
        <stp>NEG</stp>
        <tr r="G35" s="5"/>
      </tp>
      <tp t="s">
        <v>#BCONN</v>
        <stp>localhost</stp>
        <stp>BC</stp>
        <stp>FIELD</stp>
        <stp>DI1F32</stp>
        <stp>NEG</stp>
        <tr r="G34" s="5"/>
      </tp>
      <tp t="s">
        <v>#BCONN</v>
        <stp>localhost</stp>
        <stp>BC</stp>
        <stp>FIELD</stp>
        <stp>DDIF30</stp>
        <stp>NEG</stp>
        <tr r="G32" s="3"/>
      </tp>
      <tp t="s">
        <v>#BCONN</v>
        <stp>localhost</stp>
        <stp>BC</stp>
        <stp>FIELD</stp>
        <stp>DDIF31</stp>
        <stp>NEG</stp>
        <tr r="G33" s="3"/>
      </tp>
      <tp t="s">
        <v>#BCONN</v>
        <stp>localhost</stp>
        <stp>BC</stp>
        <stp>FIELD</stp>
        <stp>DDIF32</stp>
        <stp>NEG</stp>
        <tr r="G34" s="3"/>
      </tp>
      <tp t="s">
        <v>#BCONN</v>
        <stp>localhost</stp>
        <stp>BC</stp>
        <stp>FIELD</stp>
        <stp>DDIF33</stp>
        <stp>NEG</stp>
        <tr r="G35" s="3"/>
      </tp>
      <tp t="s">
        <v>#BCONN</v>
        <stp>localhost</stp>
        <stp>BC</stp>
        <stp>FIELD</stp>
        <stp>DDIF34</stp>
        <stp>NEG</stp>
        <tr r="G36" s="3"/>
      </tp>
      <tp t="s">
        <v>#BCONN</v>
        <stp>localhost</stp>
        <stp>BC</stp>
        <stp>FIELD</stp>
        <stp>DDIF35</stp>
        <stp>NEG</stp>
        <tr r="G37" s="3"/>
      </tp>
      <tp t="s">
        <v>#BCONN</v>
        <stp>localhost</stp>
        <stp>BC</stp>
        <stp>FIELD</stp>
        <stp>DDIF36</stp>
        <stp>NEG</stp>
        <tr r="G38" s="3"/>
      </tp>
      <tp t="s">
        <v>#BCONN</v>
        <stp>localhost</stp>
        <stp>BC</stp>
        <stp>FIELD</stp>
        <stp>DDIF37</stp>
        <stp>NEG</stp>
        <tr r="G39" s="3"/>
      </tp>
      <tp t="s">
        <v>#BCONN</v>
        <stp>localhost</stp>
        <stp>BC</stp>
        <stp>FIELD</stp>
        <stp>DI1F25</stp>
        <stp>NEG</stp>
        <tr r="G19" s="5"/>
      </tp>
      <tp t="s">
        <v>#BCONN</v>
        <stp>localhost</stp>
        <stp>BC</stp>
        <stp>FIELD</stp>
        <stp>DDIF28</stp>
        <stp>NEG</stp>
        <tr r="G30" s="3"/>
      </tp>
      <tp t="s">
        <v>#BCONN</v>
        <stp>localhost</stp>
        <stp>BC</stp>
        <stp>FIELD</stp>
        <stp>DOLF23</stp>
        <stp>NEG</stp>
        <tr r="G12" s="7"/>
      </tp>
      <tp t="s">
        <v>#BCONN</v>
        <stp>localhost</stp>
        <stp>BC</stp>
        <stp>FIELD</stp>
        <stp>DI1F24</stp>
        <stp>NEG</stp>
        <tr r="G15" s="5"/>
      </tp>
      <tp t="s">
        <v>#BCONN</v>
        <stp>localhost</stp>
        <stp>BC</stp>
        <stp>FIELD</stp>
        <stp>DDIF29</stp>
        <stp>NEG</stp>
        <tr r="G31" s="3"/>
      </tp>
      <tp t="s">
        <v>#BCONN</v>
        <stp>localhost</stp>
        <stp>BC</stp>
        <stp>FIELD</stp>
        <stp>DI1F27</stp>
        <stp>NEG</stp>
        <tr r="G27" s="5"/>
      </tp>
      <tp t="s">
        <v>#BCONN</v>
        <stp>localhost</stp>
        <stp>BC</stp>
        <stp>FIELD</stp>
        <stp>DI1F26</stp>
        <stp>NEG</stp>
        <tr r="G23" s="5"/>
      </tp>
      <tp t="s">
        <v>#BCONN</v>
        <stp>localhost</stp>
        <stp>BC</stp>
        <stp>FIELD</stp>
        <stp>DI1F23</stp>
        <stp>NEG</stp>
        <tr r="G7" s="5"/>
      </tp>
      <tp t="e">
        <v>#VALUE!</v>
        <stp>localhost</stp>
        <stp>BC</stp>
        <stp>FIELD</stp>
        <stp>DOLF25</stp>
        <stp>NEG</stp>
        <tr r="G28" s="7"/>
      </tp>
      <tp t="e">
        <v>#VALUE!</v>
        <stp>localhost</stp>
        <stp>BC</stp>
        <stp>FIELD</stp>
        <stp>DOLF24</stp>
        <stp>NEG</stp>
        <tr r="G24" s="7"/>
      </tp>
      <tp t="s">
        <v>#BCONN</v>
        <stp>localhost</stp>
        <stp>BC</stp>
        <stp>FIELD</stp>
        <stp>DAPF24</stp>
        <stp>NEG</stp>
        <tr r="G6" s="2"/>
      </tp>
      <tp t="s">
        <v>#BCONN</v>
        <stp>localhost</stp>
        <stp>BC</stp>
        <stp>FIELD</stp>
        <stp>DDIF23</stp>
        <stp>NEG</stp>
        <tr r="G7" s="3"/>
      </tp>
      <tp t="s">
        <v>#BCONN</v>
        <stp>localhost</stp>
        <stp>BC</stp>
        <stp>FIELD</stp>
        <stp>DI1F29</stp>
        <stp>NEG</stp>
        <tr r="G31" s="5"/>
      </tp>
      <tp t="s">
        <v>#BCONN</v>
        <stp>localhost</stp>
        <stp>BC</stp>
        <stp>FIELD</stp>
        <stp>DDIF24</stp>
        <stp>NEG</stp>
        <tr r="G15" s="3"/>
      </tp>
      <tp t="s">
        <v>#BCONN</v>
        <stp>localhost</stp>
        <stp>BC</stp>
        <stp>FIELD</stp>
        <stp>DI1F28</stp>
        <stp>NEG</stp>
        <tr r="G30" s="5"/>
      </tp>
      <tp t="s">
        <v>#BCONN</v>
        <stp>localhost</stp>
        <stp>BC</stp>
        <stp>FIELD</stp>
        <stp>DDIF25</stp>
        <stp>NEG</stp>
        <tr r="G19" s="3"/>
      </tp>
      <tp t="s">
        <v>#BCONN</v>
        <stp>localhost</stp>
        <stp>BC</stp>
        <stp>FIELD</stp>
        <stp>DAPF23</stp>
        <stp>NEG</stp>
        <tr r="G4" s="2"/>
      </tp>
      <tp t="s">
        <v>#BCONN</v>
        <stp>localhost</stp>
        <stp>BC</stp>
        <stp>FIELD</stp>
        <stp>DDIF26</stp>
        <stp>NEG</stp>
        <tr r="G23" s="3"/>
      </tp>
      <tp t="s">
        <v>#BCONN</v>
        <stp>localhost</stp>
        <stp>BC</stp>
        <stp>FIELD</stp>
        <stp>DDIF27</stp>
        <stp>NEG</stp>
        <tr r="G27" s="3"/>
      </tp>
      <tp t="s">
        <v>#BCONN</v>
        <stp>localhost</stp>
        <stp>BC</stp>
        <stp>FIELD</stp>
        <stp>WINJ24</stp>
        <stp>CNG</stp>
        <tr r="F23" s="6"/>
      </tp>
      <tp t="s">
        <v>#BCONN</v>
        <stp>localhost</stp>
        <stp>BC</stp>
        <stp>FIELD</stp>
        <stp>WINJ23</stp>
        <stp>CNG</stp>
        <tr r="F11" s="6"/>
      </tp>
      <tp t="e">
        <v>#VALUE!</v>
        <stp>localhost</stp>
        <stp>BC</stp>
        <stp>FIELD</stp>
        <stp>WDOJ23</stp>
        <stp>CNG</stp>
        <tr r="F17" s="7"/>
      </tp>
      <tp t="s">
        <v>#BCONN</v>
        <stp>localhost</stp>
        <stp>BC</stp>
        <stp>FIELD</stp>
        <stp>WINJ23</stp>
        <stp>CAB</stp>
        <tr r="E11" s="6"/>
      </tp>
      <tp t="s">
        <v>#BCONN</v>
        <stp>localhost</stp>
        <stp>BC</stp>
        <stp>FIELD</stp>
        <stp>WINJ24</stp>
        <stp>CAB</stp>
        <tr r="E23" s="6"/>
      </tp>
      <tp t="s">
        <v>#BCONN</v>
        <stp>localhost</stp>
        <stp>BC</stp>
        <stp>FIELD</stp>
        <stp>WINM23</stp>
        <stp>DAJ</stp>
        <tr r="B12" s="6"/>
      </tp>
      <tp t="s">
        <v>#BCONN</v>
        <stp>localhost</stp>
        <stp>BC</stp>
        <stp>FIELD</stp>
        <stp>WINM24</stp>
        <stp>DAJ</stp>
        <tr r="B24" s="6"/>
      </tp>
      <tp t="e">
        <v>#VALUE!</v>
        <stp>localhost</stp>
        <stp>BC</stp>
        <stp>FIELD</stp>
        <stp>WDOJ23</stp>
        <stp>CAB</stp>
        <tr r="E17" s="7"/>
      </tp>
      <tp t="s">
        <v>#BCONN</v>
        <stp>localhost</stp>
        <stp>BC</stp>
        <stp>FIELD</stp>
        <stp>WING24</stp>
        <stp>NEG</stp>
        <tr r="G20" s="6"/>
      </tp>
      <tp t="s">
        <v>#BCONN</v>
        <stp>localhost</stp>
        <stp>BC</stp>
        <stp>FIELD</stp>
        <stp>WING23</stp>
        <stp>NEG</stp>
        <tr r="G8" s="6"/>
      </tp>
      <tp t="e">
        <v>#VALUE!</v>
        <stp>localhost</stp>
        <stp>BC</stp>
        <stp>FIELD</stp>
        <stp>DOLH23</stp>
        <stp>AJU</stp>
        <tr r="D15" s="7"/>
      </tp>
      <tp t="s">
        <v>#BCONN</v>
        <stp>localhost</stp>
        <stp>BC</stp>
        <stp>FIELD</stp>
        <stp>DI1H23</stp>
        <stp>AJU</stp>
        <tr r="D9" s="5"/>
      </tp>
      <tp t="s">
        <v>#BCONN</v>
        <stp>localhost</stp>
        <stp>BC</stp>
        <stp>FIELD</stp>
        <stp>DDIH23</stp>
        <stp>AJU</stp>
        <tr r="D9" s="3"/>
      </tp>
      <tp t="s">
        <v>#BCONN</v>
        <stp>localhost</stp>
        <stp>BC</stp>
        <stp>FIELD</stp>
        <stp>INDG23</stp>
        <stp>NEG</stp>
        <tr r="G9" s="6"/>
      </tp>
      <tp t="s">
        <v>#BCONN</v>
        <stp>localhost</stp>
        <stp>BC</stp>
        <stp>FIELD</stp>
        <stp>INDG24</stp>
        <stp>NEG</stp>
        <tr r="G21" s="6"/>
      </tp>
      <tp t="s">
        <v>#BCONN</v>
        <stp>localhost</stp>
        <stp>BC</stp>
        <stp>FIELD</stp>
        <stp>FRCH23</stp>
        <stp>AJU</stp>
        <tr r="D9" s="4"/>
      </tp>
      <tp t="s">
        <v>#BCONN</v>
        <stp>localhost</stp>
        <stp>BC</stp>
        <stp>FIELD</stp>
        <stp>DI1J25</stp>
        <stp>CNG</stp>
        <tr r="F20" s="5"/>
      </tp>
      <tp t="e">
        <v>#VALUE!</v>
        <stp>localhost</stp>
        <stp>BC</stp>
        <stp>FIELD</stp>
        <stp>DOLJ23</stp>
        <stp>CNG</stp>
        <tr r="F16" s="7"/>
      </tp>
      <tp t="s">
        <v>#BCONN</v>
        <stp>localhost</stp>
        <stp>BC</stp>
        <stp>FIELD</stp>
        <stp>DI1J24</stp>
        <stp>CNG</stp>
        <tr r="F16" s="5"/>
      </tp>
      <tp t="s">
        <v>#BCONN</v>
        <stp>localhost</stp>
        <stp>BC</stp>
        <stp>FIELD</stp>
        <stp>DI1J27</stp>
        <stp>CNG</stp>
        <tr r="F28" s="5"/>
      </tp>
      <tp t="s">
        <v>#BCONN</v>
        <stp>localhost</stp>
        <stp>BC</stp>
        <stp>FIELD</stp>
        <stp>DI1J26</stp>
        <stp>CNG</stp>
        <tr r="F24" s="5"/>
      </tp>
      <tp t="s">
        <v>#BCONN</v>
        <stp>localhost</stp>
        <stp>BC</stp>
        <stp>FIELD</stp>
        <stp>DI1J23</stp>
        <stp>CNG</stp>
        <tr r="F10" s="5"/>
      </tp>
      <tp t="e">
        <v>#VALUE!</v>
        <stp>localhost</stp>
        <stp>BC</stp>
        <stp>FIELD</stp>
        <stp>DOLJ25</stp>
        <stp>CNG</stp>
        <tr r="F30" s="7"/>
      </tp>
      <tp t="e">
        <v>#VALUE!</v>
        <stp>localhost</stp>
        <stp>BC</stp>
        <stp>FIELD</stp>
        <stp>DOLJ24</stp>
        <stp>CNG</stp>
        <tr r="F25" s="7"/>
      </tp>
      <tp t="s">
        <v>#BCONN</v>
        <stp>localhost</stp>
        <stp>BC</stp>
        <stp>FIELD</stp>
        <stp>DDIJ23</stp>
        <stp>CNG</stp>
        <tr r="F10" s="3"/>
      </tp>
      <tp t="s">
        <v>#BCONN</v>
        <stp>localhost</stp>
        <stp>BC</stp>
        <stp>FIELD</stp>
        <stp>DDIJ24</stp>
        <stp>CNG</stp>
        <tr r="F16" s="3"/>
      </tp>
      <tp t="s">
        <v>#BCONN</v>
        <stp>localhost</stp>
        <stp>BC</stp>
        <stp>FIELD</stp>
        <stp>DDIJ25</stp>
        <stp>CNG</stp>
        <tr r="F20" s="3"/>
      </tp>
      <tp t="s">
        <v>#BCONN</v>
        <stp>localhost</stp>
        <stp>BC</stp>
        <stp>FIELD</stp>
        <stp>DDIJ26</stp>
        <stp>CNG</stp>
        <tr r="F24" s="3"/>
      </tp>
      <tp t="s">
        <v>#BCONN</v>
        <stp>localhost</stp>
        <stp>BC</stp>
        <stp>FIELD</stp>
        <stp>DDIJ27</stp>
        <stp>CNG</stp>
        <tr r="F28" s="3"/>
      </tp>
      <tp t="s">
        <v>#BCONN</v>
        <stp>localhost</stp>
        <stp>BC</stp>
        <stp>FIELD</stp>
        <stp>INDJ24</stp>
        <stp>CAB</stp>
        <tr r="E22" s="6"/>
      </tp>
      <tp t="s">
        <v>#BCONN</v>
        <stp>localhost</stp>
        <stp>BC</stp>
        <stp>FIELD</stp>
        <stp>INDJ23</stp>
        <stp>CAB</stp>
        <tr r="E10" s="6"/>
      </tp>
      <tp t="s">
        <v>#BCONN</v>
        <stp>localhost</stp>
        <stp>BC</stp>
        <stp>FIELD</stp>
        <stp>INDM24</stp>
        <stp>DAJ</stp>
        <tr r="B25" s="6"/>
      </tp>
      <tp t="s">
        <v>#BCONN</v>
        <stp>localhost</stp>
        <stp>BC</stp>
        <stp>FIELD</stp>
        <stp>INDM23</stp>
        <stp>DAJ</stp>
        <tr r="B13" s="6"/>
      </tp>
      <tp t="s">
        <v>#BCONN</v>
        <stp>localhost</stp>
        <stp>BC</stp>
        <stp>FIELD</stp>
        <stp>FRCJ26</stp>
        <stp>CNG</stp>
        <tr r="F24" s="4"/>
      </tp>
      <tp t="s">
        <v>#BCONN</v>
        <stp>localhost</stp>
        <stp>BC</stp>
        <stp>FIELD</stp>
        <stp>FRCJ27</stp>
        <stp>CNG</stp>
        <tr r="F28" s="4"/>
      </tp>
      <tp t="s">
        <v>#BCONN</v>
        <stp>localhost</stp>
        <stp>BC</stp>
        <stp>FIELD</stp>
        <stp>FRCJ24</stp>
        <stp>CNG</stp>
        <tr r="F16" s="4"/>
      </tp>
      <tp t="s">
        <v>#BCONN</v>
        <stp>localhost</stp>
        <stp>BC</stp>
        <stp>FIELD</stp>
        <stp>FRCJ25</stp>
        <stp>CNG</stp>
        <tr r="F20" s="4"/>
      </tp>
      <tp t="s">
        <v>#BCONN</v>
        <stp>localhost</stp>
        <stp>BC</stp>
        <stp>FIELD</stp>
        <stp>FRCJ23</stp>
        <stp>CNG</stp>
        <tr r="F10" s="4"/>
      </tp>
      <tp t="s">
        <v>#BCONN</v>
        <stp>localhost</stp>
        <stp>BC</stp>
        <stp>FIELD</stp>
        <stp>INDJ23</stp>
        <stp>CNG</stp>
        <tr r="F10" s="6"/>
      </tp>
      <tp t="s">
        <v>#BCONN</v>
        <stp>localhost</stp>
        <stp>BC</stp>
        <stp>FIELD</stp>
        <stp>INDJ24</stp>
        <stp>CNG</stp>
        <tr r="F22" s="6"/>
      </tp>
      <tp t="s">
        <v>#BCONN</v>
        <stp>localhost</stp>
        <stp>BC</stp>
        <stp>FIELD</stp>
        <stp>FRCM23</stp>
        <stp>DAJ</stp>
        <tr r="B12" s="4"/>
      </tp>
      <tp t="s">
        <v>#BCONN</v>
        <stp>localhost</stp>
        <stp>BC</stp>
        <stp>FIELD</stp>
        <stp>FRCJ23</stp>
        <stp>CAB</stp>
        <tr r="E10" s="4"/>
      </tp>
      <tp t="s">
        <v>#BCONN</v>
        <stp>localhost</stp>
        <stp>BC</stp>
        <stp>FIELD</stp>
        <stp>FRCJ27</stp>
        <stp>CAB</stp>
        <tr r="E28" s="4"/>
      </tp>
      <tp t="s">
        <v>#BCONN</v>
        <stp>localhost</stp>
        <stp>BC</stp>
        <stp>FIELD</stp>
        <stp>FRCJ26</stp>
        <stp>CAB</stp>
        <tr r="E24" s="4"/>
      </tp>
      <tp t="s">
        <v>#BCONN</v>
        <stp>localhost</stp>
        <stp>BC</stp>
        <stp>FIELD</stp>
        <stp>FRCJ25</stp>
        <stp>CAB</stp>
        <tr r="E20" s="4"/>
      </tp>
      <tp t="s">
        <v>#BCONN</v>
        <stp>localhost</stp>
        <stp>BC</stp>
        <stp>FIELD</stp>
        <stp>FRCJ24</stp>
        <stp>CAB</stp>
        <tr r="E16" s="4"/>
      </tp>
      <tp t="e">
        <v>#VALUE!</v>
        <stp>localhost</stp>
        <stp>BC</stp>
        <stp>FIELD</stp>
        <stp>DOLJ24</stp>
        <stp>CAB</stp>
        <tr r="E25" s="7"/>
      </tp>
      <tp t="s">
        <v>#BCONN</v>
        <stp>localhost</stp>
        <stp>BC</stp>
        <stp>FIELD</stp>
        <stp>DI1J23</stp>
        <stp>CAB</stp>
        <tr r="E10" s="5"/>
      </tp>
      <tp t="e">
        <v>#VALUE!</v>
        <stp>localhost</stp>
        <stp>BC</stp>
        <stp>FIELD</stp>
        <stp>DOLJ25</stp>
        <stp>CAB</stp>
        <tr r="E30" s="7"/>
      </tp>
      <tp t="s">
        <v>#BCONN</v>
        <stp>localhost</stp>
        <stp>BC</stp>
        <stp>FIELD</stp>
        <stp>DI1J24</stp>
        <stp>CAB</stp>
        <tr r="E16" s="5"/>
      </tp>
      <tp t="s">
        <v>#BCONN</v>
        <stp>localhost</stp>
        <stp>BC</stp>
        <stp>FIELD</stp>
        <stp>DI1J25</stp>
        <stp>CAB</stp>
        <tr r="E20" s="5"/>
      </tp>
      <tp t="e">
        <v>#VALUE!</v>
        <stp>localhost</stp>
        <stp>BC</stp>
        <stp>FIELD</stp>
        <stp>DOLJ23</stp>
        <stp>CAB</stp>
        <tr r="E16" s="7"/>
      </tp>
      <tp t="s">
        <v>#BCONN</v>
        <stp>localhost</stp>
        <stp>BC</stp>
        <stp>FIELD</stp>
        <stp>DI1J26</stp>
        <stp>CAB</stp>
        <tr r="E24" s="5"/>
      </tp>
      <tp t="s">
        <v>#BCONN</v>
        <stp>localhost</stp>
        <stp>BC</stp>
        <stp>FIELD</stp>
        <stp>DDIM23</stp>
        <stp>DAJ</stp>
        <tr r="B12" s="3"/>
      </tp>
      <tp t="s">
        <v>#BCONN</v>
        <stp>localhost</stp>
        <stp>BC</stp>
        <stp>FIELD</stp>
        <stp>DI1J27</stp>
        <stp>CAB</stp>
        <tr r="E28" s="5"/>
      </tp>
      <tp t="s">
        <v>#BCONN</v>
        <stp>localhost</stp>
        <stp>BC</stp>
        <stp>FIELD</stp>
        <stp>DDIJ25</stp>
        <stp>CAB</stp>
        <tr r="E20" s="3"/>
      </tp>
      <tp t="s">
        <v>#BCONN</v>
        <stp>localhost</stp>
        <stp>BC</stp>
        <stp>FIELD</stp>
        <stp>DDIJ24</stp>
        <stp>CAB</stp>
        <tr r="E16" s="3"/>
      </tp>
      <tp t="s">
        <v>#BCONN</v>
        <stp>localhost</stp>
        <stp>BC</stp>
        <stp>FIELD</stp>
        <stp>DDIJ27</stp>
        <stp>CAB</stp>
        <tr r="E28" s="3"/>
      </tp>
      <tp t="s">
        <v>#BCONN</v>
        <stp>localhost</stp>
        <stp>BC</stp>
        <stp>FIELD</stp>
        <stp>DI1M23</stp>
        <stp>DAJ</stp>
        <tr r="B12" s="5"/>
      </tp>
      <tp t="s">
        <v>#BCONN</v>
        <stp>localhost</stp>
        <stp>BC</stp>
        <stp>FIELD</stp>
        <stp>DDIJ26</stp>
        <stp>CAB</stp>
        <tr r="E24" s="3"/>
      </tp>
      <tp t="e">
        <v>#VALUE!</v>
        <stp>localhost</stp>
        <stp>BC</stp>
        <stp>FIELD</stp>
        <stp>DOLM23</stp>
        <stp>DAJ</stp>
        <tr r="B19" s="7"/>
      </tp>
      <tp t="s">
        <v>#BCONN</v>
        <stp>localhost</stp>
        <stp>BC</stp>
        <stp>FIELD</stp>
        <stp>DDIJ23</stp>
        <stp>CAB</stp>
        <tr r="E10" s="3"/>
      </tp>
      <tp t="s">
        <v>#BCONN</v>
        <stp>localhost</stp>
        <stp>BC</stp>
        <stp>FIELD</stp>
        <stp>FRCG23</stp>
        <stp>NEG</stp>
        <tr r="G8" s="4"/>
      </tp>
      <tp t="s">
        <v>#BCONN</v>
        <stp>localhost</stp>
        <stp>BC</stp>
        <stp>FIELD</stp>
        <stp>DOLG23</stp>
        <stp>NEG</stp>
        <tr r="G14" s="7"/>
      </tp>
      <tp t="s">
        <v>#BCONN</v>
        <stp>localhost</stp>
        <stp>BC</stp>
        <stp>FIELD</stp>
        <stp>DI1G23</stp>
        <stp>NEG</stp>
        <tr r="G8" s="5"/>
      </tp>
      <tp t="s">
        <v>#BCONN</v>
        <stp>localhost</stp>
        <stp>BC</stp>
        <stp>FIELD</stp>
        <stp>DDIG23</stp>
        <stp>NEG</stp>
        <tr r="G8" s="3"/>
      </tp>
      <tp t="e">
        <v>#VALUE!</v>
        <stp>localhost</stp>
        <stp>BC</stp>
        <stp>FIELD</stp>
        <stp>DOLK23</stp>
        <stp>AJU</stp>
        <tr r="D18" s="7"/>
      </tp>
      <tp t="s">
        <v>#BCONN</v>
        <stp>localhost</stp>
        <stp>BC</stp>
        <stp>FIELD</stp>
        <stp>DI1K23</stp>
        <stp>AJU</stp>
        <tr r="D11" s="5"/>
      </tp>
      <tp t="s">
        <v>#BCONN</v>
        <stp>localhost</stp>
        <stp>BC</stp>
        <stp>FIELD</stp>
        <stp>DAPK27</stp>
        <stp>AJU</stp>
        <tr r="D10" s="2"/>
      </tp>
      <tp t="s">
        <v>#BCONN</v>
        <stp>localhost</stp>
        <stp>BC</stp>
        <stp>FIELD</stp>
        <stp>DDIK23</stp>
        <stp>AJU</stp>
        <tr r="D11" s="3"/>
      </tp>
      <tp t="s">
        <v>#BCONN</v>
        <stp>localhost</stp>
        <stp>BC</stp>
        <stp>FIELD</stp>
        <stp>DAPK25</stp>
        <stp>AJU</stp>
        <tr r="D8" s="2"/>
      </tp>
      <tp t="s">
        <v>#BCONN</v>
        <stp>localhost</stp>
        <stp>BC</stp>
        <stp>FIELD</stp>
        <stp>DAPK23</stp>
        <stp>AJU</stp>
        <tr r="D5" s="2"/>
      </tp>
      <tp t="s">
        <v>#BCONN</v>
        <stp>localhost</stp>
        <stp>BC</stp>
        <stp>FIELD</stp>
        <stp>DAPK35</stp>
        <stp>AJU</stp>
        <tr r="D14" s="2"/>
      </tp>
      <tp t="s">
        <v>#BCONN</v>
        <stp>localhost</stp>
        <stp>BC</stp>
        <stp>FIELD</stp>
        <stp>FRCK23</stp>
        <stp>AJU</stp>
        <tr r="D11" s="4"/>
      </tp>
      <tp t="s">
        <v>#BCONN</v>
        <stp>localhost</stp>
        <stp>BC</stp>
        <stp>FIELD</stp>
        <stp>DAPK45</stp>
        <stp>AJU</stp>
        <tr r="D16" s="2"/>
      </tp>
      <tp t="s">
        <v>#BCONN</v>
        <stp>localhost</stp>
        <stp>BC</stp>
        <stp>FIELD</stp>
        <stp>DAPK55</stp>
        <stp>AJU</stp>
        <tr r="D18" s="2"/>
      </tp>
      <tp t="s">
        <v>#BCONN</v>
        <stp>localhost</stp>
        <stp>BC</stp>
        <stp>FIELD</stp>
        <stp>FRCN23</stp>
        <stp>DAJ</stp>
        <tr r="B13" s="4"/>
      </tp>
      <tp t="s">
        <v>#BCONN</v>
        <stp>localhost</stp>
        <stp>BC</stp>
        <stp>FIELD</stp>
        <stp>FRCN27</stp>
        <stp>DAJ</stp>
        <tr r="B29" s="4"/>
      </tp>
      <tp t="s">
        <v>#BCONN</v>
        <stp>localhost</stp>
        <stp>BC</stp>
        <stp>FIELD</stp>
        <stp>FRCN26</stp>
        <stp>DAJ</stp>
        <tr r="B25" s="4"/>
      </tp>
      <tp t="s">
        <v>#BCONN</v>
        <stp>localhost</stp>
        <stp>BC</stp>
        <stp>FIELD</stp>
        <stp>FRCN25</stp>
        <stp>DAJ</stp>
        <tr r="B21" s="4"/>
      </tp>
      <tp t="s">
        <v>#BCONN</v>
        <stp>localhost</stp>
        <stp>BC</stp>
        <stp>FIELD</stp>
        <stp>FRCN24</stp>
        <stp>DAJ</stp>
        <tr r="B17" s="4"/>
      </tp>
      <tp t="s">
        <v>#BCONN</v>
        <stp>localhost</stp>
        <stp>BC</stp>
        <stp>FIELD</stp>
        <stp>DDIN25</stp>
        <stp>DAJ</stp>
        <tr r="B21" s="3"/>
      </tp>
      <tp t="s">
        <v>#BCONN</v>
        <stp>localhost</stp>
        <stp>BC</stp>
        <stp>FIELD</stp>
        <stp>DDIN24</stp>
        <stp>DAJ</stp>
        <tr r="B17" s="3"/>
      </tp>
      <tp t="s">
        <v>#BCONN</v>
        <stp>localhost</stp>
        <stp>BC</stp>
        <stp>FIELD</stp>
        <stp>DDIN27</stp>
        <stp>DAJ</stp>
        <tr r="B29" s="3"/>
      </tp>
      <tp t="s">
        <v>#BCONN</v>
        <stp>localhost</stp>
        <stp>BC</stp>
        <stp>FIELD</stp>
        <stp>DDIN26</stp>
        <stp>DAJ</stp>
        <tr r="B25" s="3"/>
      </tp>
      <tp t="s">
        <v>#BCONN</v>
        <stp>localhost</stp>
        <stp>BC</stp>
        <stp>FIELD</stp>
        <stp>DDIN23</stp>
        <stp>DAJ</stp>
        <tr r="B13" s="3"/>
      </tp>
      <tp t="e">
        <v>#VALUE!</v>
        <stp>localhost</stp>
        <stp>BC</stp>
        <stp>FIELD</stp>
        <stp>DOLN24</stp>
        <stp>DAJ</stp>
        <tr r="B26" s="7"/>
      </tp>
      <tp t="s">
        <v>#BCONN</v>
        <stp>localhost</stp>
        <stp>BC</stp>
        <stp>FIELD</stp>
        <stp>DI1N23</stp>
        <stp>DAJ</stp>
        <tr r="B13" s="5"/>
      </tp>
      <tp t="e">
        <v>#VALUE!</v>
        <stp>localhost</stp>
        <stp>BC</stp>
        <stp>FIELD</stp>
        <stp>DOLN25</stp>
        <stp>DAJ</stp>
        <tr r="B31" s="7"/>
      </tp>
      <tp t="s">
        <v>#BCONN</v>
        <stp>localhost</stp>
        <stp>BC</stp>
        <stp>FIELD</stp>
        <stp>DI1N24</stp>
        <stp>DAJ</stp>
        <tr r="B17" s="5"/>
      </tp>
      <tp t="s">
        <v>#BCONN</v>
        <stp>localhost</stp>
        <stp>BC</stp>
        <stp>FIELD</stp>
        <stp>DI1N25</stp>
        <stp>DAJ</stp>
        <tr r="B21" s="5"/>
      </tp>
      <tp t="e">
        <v>#VALUE!</v>
        <stp>localhost</stp>
        <stp>BC</stp>
        <stp>FIELD</stp>
        <stp>DOLN23</stp>
        <stp>DAJ</stp>
        <tr r="B20" s="7"/>
      </tp>
      <tp t="s">
        <v>#BCONN</v>
        <stp>localhost</stp>
        <stp>BC</stp>
        <stp>FIELD</stp>
        <stp>DI1N26</stp>
        <stp>DAJ</stp>
        <tr r="B25" s="5"/>
      </tp>
      <tp t="s">
        <v>#BCONN</v>
        <stp>localhost</stp>
        <stp>BC</stp>
        <stp>FIELD</stp>
        <stp>DI1N27</stp>
        <stp>DAJ</stp>
        <tr r="B29" s="5"/>
      </tp>
      <tp t="s">
        <v>#BCONN</v>
        <stp>localhost</stp>
        <stp>BC</stp>
        <stp>FIELD</stp>
        <stp>WINJ24</stp>
        <stp>AJU</stp>
        <tr r="D23" s="6"/>
      </tp>
      <tp t="s">
        <v>#BCONN</v>
        <stp>localhost</stp>
        <stp>BC</stp>
        <stp>FIELD</stp>
        <stp>WINJ23</stp>
        <stp>AJU</stp>
        <tr r="D11" s="6"/>
      </tp>
      <tp t="e">
        <v>#VALUE!</v>
        <stp>localhost</stp>
        <stp>BC</stp>
        <stp>FIELD</stp>
        <stp>WDOJ23</stp>
        <stp>AJU</stp>
        <tr r="D17" s="7"/>
      </tp>
      <tp t="s">
        <v>#BCONN</v>
        <stp>localhost</stp>
        <stp>BC</stp>
        <stp>FIELD</stp>
        <stp>DI1J27</stp>
        <stp>AJU</stp>
        <tr r="D28" s="5"/>
      </tp>
      <tp t="s">
        <v>#BCONN</v>
        <stp>localhost</stp>
        <stp>BC</stp>
        <stp>FIELD</stp>
        <stp>DI1J26</stp>
        <stp>AJU</stp>
        <tr r="D24" s="5"/>
      </tp>
      <tp t="s">
        <v>#BCONN</v>
        <stp>localhost</stp>
        <stp>BC</stp>
        <stp>FIELD</stp>
        <stp>DI1J25</stp>
        <stp>AJU</stp>
        <tr r="D20" s="5"/>
      </tp>
      <tp t="e">
        <v>#VALUE!</v>
        <stp>localhost</stp>
        <stp>BC</stp>
        <stp>FIELD</stp>
        <stp>DOLJ23</stp>
        <stp>AJU</stp>
        <tr r="D16" s="7"/>
      </tp>
      <tp t="s">
        <v>#BCONN</v>
        <stp>localhost</stp>
        <stp>BC</stp>
        <stp>FIELD</stp>
        <stp>DI1J24</stp>
        <stp>AJU</stp>
        <tr r="D16" s="5"/>
      </tp>
      <tp t="s">
        <v>#BCONN</v>
        <stp>localhost</stp>
        <stp>BC</stp>
        <stp>FIELD</stp>
        <stp>DI1J23</stp>
        <stp>AJU</stp>
        <tr r="D10" s="5"/>
      </tp>
      <tp t="e">
        <v>#VALUE!</v>
        <stp>localhost</stp>
        <stp>BC</stp>
        <stp>FIELD</stp>
        <stp>DOLJ25</stp>
        <stp>AJU</stp>
        <tr r="D30" s="7"/>
      </tp>
      <tp t="e">
        <v>#VALUE!</v>
        <stp>localhost</stp>
        <stp>BC</stp>
        <stp>FIELD</stp>
        <stp>DOLJ24</stp>
        <stp>AJU</stp>
        <tr r="D25" s="7"/>
      </tp>
      <tp t="s">
        <v>#BCONN</v>
        <stp>localhost</stp>
        <stp>BC</stp>
        <stp>FIELD</stp>
        <stp>DDIJ23</stp>
        <stp>AJU</stp>
        <tr r="D10" s="3"/>
      </tp>
      <tp t="s">
        <v>#BCONN</v>
        <stp>localhost</stp>
        <stp>BC</stp>
        <stp>FIELD</stp>
        <stp>DDIJ26</stp>
        <stp>AJU</stp>
        <tr r="D24" s="3"/>
      </tp>
      <tp t="s">
        <v>#BCONN</v>
        <stp>localhost</stp>
        <stp>BC</stp>
        <stp>FIELD</stp>
        <stp>DDIJ27</stp>
        <stp>AJU</stp>
        <tr r="D28" s="3"/>
      </tp>
      <tp t="s">
        <v>#BCONN</v>
        <stp>localhost</stp>
        <stp>BC</stp>
        <stp>FIELD</stp>
        <stp>DDIJ24</stp>
        <stp>AJU</stp>
        <tr r="D16" s="3"/>
      </tp>
      <tp t="s">
        <v>#BCONN</v>
        <stp>localhost</stp>
        <stp>BC</stp>
        <stp>FIELD</stp>
        <stp>DDIJ25</stp>
        <stp>AJU</stp>
        <tr r="D20" s="3"/>
      </tp>
      <tp t="s">
        <v>#BCONN</v>
        <stp>localhost</stp>
        <stp>BC</stp>
        <stp>FIELD</stp>
        <stp>FRCJ24</stp>
        <stp>AJU</stp>
        <tr r="D16" s="4"/>
      </tp>
      <tp t="s">
        <v>#BCONN</v>
        <stp>localhost</stp>
        <stp>BC</stp>
        <stp>FIELD</stp>
        <stp>FRCJ25</stp>
        <stp>AJU</stp>
        <tr r="D20" s="4"/>
      </tp>
      <tp t="s">
        <v>#BCONN</v>
        <stp>localhost</stp>
        <stp>BC</stp>
        <stp>FIELD</stp>
        <stp>FRCJ26</stp>
        <stp>AJU</stp>
        <tr r="D24" s="4"/>
      </tp>
      <tp t="s">
        <v>#BCONN</v>
        <stp>localhost</stp>
        <stp>BC</stp>
        <stp>FIELD</stp>
        <stp>FRCJ27</stp>
        <stp>AJU</stp>
        <tr r="D28" s="4"/>
      </tp>
      <tp t="s">
        <v>#BCONN</v>
        <stp>localhost</stp>
        <stp>BC</stp>
        <stp>FIELD</stp>
        <stp>FRCJ23</stp>
        <stp>AJU</stp>
        <tr r="D10" s="4"/>
      </tp>
      <tp t="e">
        <v>#VALUE!</v>
        <stp>localhost</stp>
        <stp>BC</stp>
        <stp>FIELD</stp>
        <stp>DOLH23</stp>
        <stp>CNG</stp>
        <tr r="F15" s="7"/>
      </tp>
      <tp t="s">
        <v>#BCONN</v>
        <stp>localhost</stp>
        <stp>BC</stp>
        <stp>FIELD</stp>
        <stp>DI1H23</stp>
        <stp>CNG</stp>
        <tr r="F9" s="5"/>
      </tp>
      <tp t="s">
        <v>#BCONN</v>
        <stp>localhost</stp>
        <stp>BC</stp>
        <stp>FIELD</stp>
        <stp>DDIH23</stp>
        <stp>CNG</stp>
        <tr r="F9" s="3"/>
      </tp>
      <tp t="s">
        <v>#BCONN</v>
        <stp>localhost</stp>
        <stp>BC</stp>
        <stp>FIELD</stp>
        <stp>FRCH23</stp>
        <stp>CNG</stp>
        <tr r="F9" s="4"/>
      </tp>
      <tp t="s">
        <v>#BCONN</v>
        <stp>localhost</stp>
        <stp>BC</stp>
        <stp>FIELD</stp>
        <stp>FRCH23</stp>
        <stp>CAB</stp>
        <tr r="E9" s="4"/>
      </tp>
      <tp t="s">
        <v>#BCONN</v>
        <stp>localhost</stp>
        <stp>BC</stp>
        <stp>FIELD</stp>
        <stp>DI1H23</stp>
        <stp>CAB</stp>
        <tr r="E9" s="5"/>
      </tp>
      <tp t="e">
        <v>#VALUE!</v>
        <stp>localhost</stp>
        <stp>BC</stp>
        <stp>FIELD</stp>
        <stp>DOLH23</stp>
        <stp>CAB</stp>
        <tr r="E15" s="7"/>
      </tp>
      <tp t="s">
        <v>#BCONN</v>
        <stp>localhost</stp>
        <stp>BC</stp>
        <stp>FIELD</stp>
        <stp>DDIH23</stp>
        <stp>CAB</stp>
        <tr r="E9" s="3"/>
      </tp>
      <tp t="s">
        <v>#BCONN</v>
        <stp>localhost</stp>
        <stp>BC</stp>
        <stp>FIELD</stp>
        <stp>INDJ23</stp>
        <stp>AJU</stp>
        <tr r="D10" s="6"/>
      </tp>
      <tp t="s">
        <v>#BCONN</v>
        <stp>localhost</stp>
        <stp>BC</stp>
        <stp>FIELD</stp>
        <stp>INDJ24</stp>
        <stp>AJU</stp>
        <tr r="D22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2FA2-D370-40AB-9477-699BB0ED1D4D}">
  <sheetPr codeName="Sheet1"/>
  <dimension ref="A1:N8"/>
  <sheetViews>
    <sheetView workbookViewId="0">
      <selection activeCell="B3" sqref="B3"/>
    </sheetView>
  </sheetViews>
  <sheetFormatPr defaultRowHeight="18.75" x14ac:dyDescent="0.3"/>
  <cols>
    <col min="1" max="1" width="26.1640625" style="5" customWidth="1"/>
    <col min="2" max="2" width="17.83203125" style="4" customWidth="1"/>
    <col min="7" max="7" width="15.1640625" bestFit="1" customWidth="1"/>
  </cols>
  <sheetData>
    <row r="1" spans="1:14" x14ac:dyDescent="0.3">
      <c r="A1" s="6" t="s">
        <v>87</v>
      </c>
      <c r="B1" s="7">
        <f ca="1">TODAY()</f>
        <v>44762</v>
      </c>
      <c r="C1" s="2" t="e">
        <f t="array" aca="1" ref="C1" ca="1">AND(B1=B3:B8)</f>
        <v>#VALUE!</v>
      </c>
    </row>
    <row r="2" spans="1:14" x14ac:dyDescent="0.3">
      <c r="B2" s="3"/>
    </row>
    <row r="3" spans="1:14" x14ac:dyDescent="0.3">
      <c r="A3" s="5" t="s">
        <v>86</v>
      </c>
      <c r="B3" s="4" t="e">
        <f>MAX(USDBRLFuture!B:B)</f>
        <v>#VALUE!</v>
      </c>
      <c r="G3" s="13"/>
    </row>
    <row r="4" spans="1:14" x14ac:dyDescent="0.3">
      <c r="A4" s="5" t="s">
        <v>85</v>
      </c>
      <c r="B4" s="4">
        <f>MAX(IBOVSPFuture!B:B)</f>
        <v>0</v>
      </c>
      <c r="G4" s="13"/>
      <c r="H4" s="13"/>
      <c r="I4" s="13"/>
      <c r="J4" s="13"/>
      <c r="K4" s="13"/>
      <c r="L4" s="13"/>
      <c r="M4" s="13"/>
      <c r="N4" s="13"/>
    </row>
    <row r="5" spans="1:14" x14ac:dyDescent="0.3">
      <c r="A5" s="5" t="s">
        <v>83</v>
      </c>
      <c r="B5" s="4">
        <f>MAX(DI1Future!B:B)</f>
        <v>0</v>
      </c>
      <c r="H5" s="13"/>
      <c r="I5" s="13"/>
      <c r="J5" s="13"/>
      <c r="K5" s="13"/>
      <c r="L5" s="13"/>
      <c r="M5" s="13"/>
      <c r="N5" s="13"/>
    </row>
    <row r="6" spans="1:14" x14ac:dyDescent="0.3">
      <c r="A6" s="5" t="s">
        <v>82</v>
      </c>
      <c r="B6" s="4">
        <f>MAX(FRC!B:B)</f>
        <v>0</v>
      </c>
    </row>
    <row r="7" spans="1:14" x14ac:dyDescent="0.3">
      <c r="A7" s="5" t="s">
        <v>81</v>
      </c>
      <c r="B7" s="4">
        <f>MAX('DDI Future'!B:B)</f>
        <v>0</v>
      </c>
    </row>
    <row r="8" spans="1:14" x14ac:dyDescent="0.3">
      <c r="A8" s="5" t="s">
        <v>84</v>
      </c>
      <c r="B8" s="4">
        <f>MAX('DAP Future'!B:B)</f>
        <v>0</v>
      </c>
    </row>
  </sheetData>
  <conditionalFormatting sqref="B3:B8">
    <cfRule type="cellIs" dxfId="0" priority="1" operator="equal">
      <formula>$B$1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58E6-75F8-4E2C-A22E-C35EDBFF7490}">
  <sheetPr codeName="Sheet2"/>
  <dimension ref="A1:G31"/>
  <sheetViews>
    <sheetView tabSelected="1" zoomScaleNormal="100" workbookViewId="0">
      <selection activeCell="B1" sqref="B1"/>
    </sheetView>
  </sheetViews>
  <sheetFormatPr defaultRowHeight="12" x14ac:dyDescent="0.2"/>
  <cols>
    <col min="2" max="2" width="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110</v>
      </c>
    </row>
    <row r="2" spans="1:7" x14ac:dyDescent="0.2">
      <c r="A2" t="s">
        <v>166</v>
      </c>
      <c r="B2" s="8" t="str">
        <f>_xll.BC($A$2,"DAJ")</f>
        <v>#BCONN</v>
      </c>
      <c r="C2" s="1" t="str">
        <f>_xll.BC($A$2,"AJUT")</f>
        <v>#BCONN</v>
      </c>
      <c r="D2" s="1" t="str">
        <f>_xll.BC($A$2,"AJU")</f>
        <v>#BCONN</v>
      </c>
      <c r="E2" s="1" t="str">
        <f>_xll.BC($A$2,"CAB")</f>
        <v>#BCONN</v>
      </c>
      <c r="F2" s="1" t="str">
        <f>_xll.BC($A$2,"CNG")</f>
        <v>#BCONN</v>
      </c>
      <c r="G2" s="1" t="str">
        <f>_xll.BC($A$2,"NEG")</f>
        <v>#BCONN</v>
      </c>
    </row>
    <row r="3" spans="1:7" x14ac:dyDescent="0.2">
      <c r="A3" t="s">
        <v>167</v>
      </c>
      <c r="B3" s="8" t="str">
        <f>_xll.BC($A$3,"DAJ")</f>
        <v>#BCONN</v>
      </c>
      <c r="C3" s="1" t="str">
        <f>_xll.BC($A$3,"AJUT")</f>
        <v>#BCONN</v>
      </c>
      <c r="D3" s="1" t="str">
        <f>_xll.BC($A$3,"AJU")</f>
        <v>#BCONN</v>
      </c>
      <c r="E3" s="1" t="str">
        <f>_xll.BC($A$3,"CAB")</f>
        <v>#BCONN</v>
      </c>
      <c r="F3" s="1" t="str">
        <f>_xll.BC($A$3,"CNG")</f>
        <v>#BCONN</v>
      </c>
      <c r="G3" s="1" t="str">
        <f>_xll.BC($A$3,"NEG")</f>
        <v>#BCONN</v>
      </c>
    </row>
    <row r="4" spans="1:7" x14ac:dyDescent="0.2">
      <c r="A4" t="s">
        <v>168</v>
      </c>
      <c r="B4" s="8" t="str">
        <f>_xll.BC($A$4,"DAJ")</f>
        <v>#BCONN</v>
      </c>
      <c r="C4" s="1" t="str">
        <f>_xll.BC($A$4,"AJUT")</f>
        <v>#BCONN</v>
      </c>
      <c r="D4" s="1" t="str">
        <f>_xll.BC($A$4,"AJU")</f>
        <v>#BCONN</v>
      </c>
      <c r="E4" s="1" t="str">
        <f>_xll.BC($A$4,"CAB")</f>
        <v>#BCONN</v>
      </c>
      <c r="F4" s="1" t="str">
        <f>_xll.BC($A$4,"CNG")</f>
        <v>#BCONN</v>
      </c>
      <c r="G4" s="1" t="str">
        <f>_xll.BC($A$4,"NEG")</f>
        <v>#BCONN</v>
      </c>
    </row>
    <row r="5" spans="1:7" x14ac:dyDescent="0.2">
      <c r="A5" t="s">
        <v>169</v>
      </c>
      <c r="B5" s="8" t="str">
        <f>_xll.BC($A$5,"DAJ")</f>
        <v>#BCONN</v>
      </c>
      <c r="C5" s="1" t="str">
        <f>_xll.BC($A$5,"AJUT")</f>
        <v>#BCONN</v>
      </c>
      <c r="D5" s="1" t="str">
        <f>_xll.BC($A$5,"AJU")</f>
        <v>#BCONN</v>
      </c>
      <c r="E5" s="1" t="str">
        <f>_xll.BC($A$5,"CAB")</f>
        <v>#BCONN</v>
      </c>
      <c r="F5" s="1" t="str">
        <f>_xll.BC($A$5,"CNG")</f>
        <v>#BCONN</v>
      </c>
      <c r="G5" s="1" t="str">
        <f>_xll.BC($A$5,"NEG")</f>
        <v>#BCONN</v>
      </c>
    </row>
    <row r="6" spans="1:7" x14ac:dyDescent="0.2">
      <c r="A6" t="s">
        <v>106</v>
      </c>
      <c r="B6" s="8" t="str">
        <f>_xll.BC($A$6,"DAJ")</f>
        <v>#BCONN</v>
      </c>
      <c r="C6" s="1" t="str">
        <f>_xll.BC($A$6,"AJUT")</f>
        <v>#BCONN</v>
      </c>
      <c r="D6" s="1" t="str">
        <f>_xll.BC($A$6,"AJU")</f>
        <v>#BCONN</v>
      </c>
      <c r="E6" s="1" t="str">
        <f>_xll.BC($A$6,"CAB")</f>
        <v>#BCONN</v>
      </c>
      <c r="F6" s="1" t="str">
        <f>_xll.BC($A$6,"CNG")</f>
        <v>#BCONN</v>
      </c>
      <c r="G6" s="1" t="str">
        <f>_xll.BC($A$6,"NEG")</f>
        <v>#BCONN</v>
      </c>
    </row>
    <row r="7" spans="1:7" x14ac:dyDescent="0.2">
      <c r="A7" t="s">
        <v>73</v>
      </c>
      <c r="B7" s="8" t="str">
        <f>_xll.BC($A$7,"DAJ")</f>
        <v>#BCONN</v>
      </c>
      <c r="C7" s="1" t="str">
        <f>_xll.BC($A$7,"AJUT")</f>
        <v>#BCONN</v>
      </c>
      <c r="D7" s="1" t="str">
        <f>_xll.BC($A$7,"AJU")</f>
        <v>#BCONN</v>
      </c>
      <c r="E7" s="1" t="str">
        <f>_xll.BC($A$7,"CAB")</f>
        <v>#BCONN</v>
      </c>
      <c r="F7" s="1" t="str">
        <f>_xll.BC($A$7,"CNG")</f>
        <v>#BCONN</v>
      </c>
      <c r="G7" s="1" t="str">
        <f>_xll.BC($A$7,"NEG")</f>
        <v>#BCONN</v>
      </c>
    </row>
    <row r="8" spans="1:7" x14ac:dyDescent="0.2">
      <c r="A8" t="s">
        <v>170</v>
      </c>
      <c r="B8" s="8" t="str">
        <f>_xll.BC($A$8,"DAJ")</f>
        <v>#BCONN</v>
      </c>
      <c r="C8" s="1" t="str">
        <f>_xll.BC($A$8,"AJUT")</f>
        <v>#BCONN</v>
      </c>
      <c r="D8" s="1" t="str">
        <f>_xll.BC($A$8,"AJU")</f>
        <v>#BCONN</v>
      </c>
      <c r="E8" s="1" t="str">
        <f>_xll.BC($A$8,"CAB")</f>
        <v>#BCONN</v>
      </c>
      <c r="F8" s="1" t="str">
        <f>_xll.BC($A$8,"CNG")</f>
        <v>#BCONN</v>
      </c>
      <c r="G8" s="1" t="str">
        <f>_xll.BC($A$8,"NEG")</f>
        <v>#BCONN</v>
      </c>
    </row>
    <row r="9" spans="1:7" x14ac:dyDescent="0.2">
      <c r="A9" t="s">
        <v>171</v>
      </c>
      <c r="B9" s="8" t="str">
        <f>_xll.BC($A$9,"DAJ")</f>
        <v>#BCONN</v>
      </c>
      <c r="C9" s="1" t="str">
        <f>_xll.BC($A$9,"AJUT")</f>
        <v>#BCONN</v>
      </c>
      <c r="D9" s="1" t="str">
        <f>_xll.BC($A$9,"AJU")</f>
        <v>#BCONN</v>
      </c>
      <c r="E9" s="1" t="str">
        <f>_xll.BC($A$9,"CAB")</f>
        <v>#BCONN</v>
      </c>
      <c r="F9" s="1" t="str">
        <f>_xll.BC($A$9,"CNG")</f>
        <v>#BCONN</v>
      </c>
      <c r="G9" s="1" t="str">
        <f>_xll.BC($A$9,"NEG")</f>
        <v>#BCONN</v>
      </c>
    </row>
    <row r="10" spans="1:7" x14ac:dyDescent="0.2">
      <c r="A10" t="s">
        <v>195</v>
      </c>
      <c r="B10" s="8" t="str">
        <f>_xll.BC($A$10,"DAJ")</f>
        <v>#BCONN</v>
      </c>
      <c r="C10" s="1" t="str">
        <f>_xll.BC($A$10,"AJUT")</f>
        <v>#BCONN</v>
      </c>
      <c r="D10" s="1" t="str">
        <f>_xll.BC($A$10,"AJU")</f>
        <v>#BCONN</v>
      </c>
      <c r="E10" s="1" t="str">
        <f>_xll.BC($A$10,"CAB")</f>
        <v>#BCONN</v>
      </c>
      <c r="F10" s="1" t="str">
        <f>_xll.BC($A$10,"CNG")</f>
        <v>#BCONN</v>
      </c>
      <c r="G10" s="1" t="str">
        <f>_xll.BC($A$10,"NEG")</f>
        <v>#BCONN</v>
      </c>
    </row>
    <row r="11" spans="1:7" x14ac:dyDescent="0.2">
      <c r="A11" t="s">
        <v>172</v>
      </c>
      <c r="B11" s="8" t="str">
        <f>_xll.BC($A$11,"DAJ")</f>
        <v>#BCONN</v>
      </c>
      <c r="C11" s="1" t="str">
        <f>_xll.BC($A$11,"AJUT")</f>
        <v>#BCONN</v>
      </c>
      <c r="D11" s="1" t="str">
        <f>_xll.BC($A$11,"AJU")</f>
        <v>#BCONN</v>
      </c>
      <c r="E11" s="1" t="str">
        <f>_xll.BC($A$11,"CAB")</f>
        <v>#BCONN</v>
      </c>
      <c r="F11" s="1" t="str">
        <f>_xll.BC($A$11,"CNG")</f>
        <v>#BCONN</v>
      </c>
      <c r="G11" s="1" t="str">
        <f>_xll.BC($A$11,"NEG")</f>
        <v>#BCONN</v>
      </c>
    </row>
    <row r="12" spans="1:7" x14ac:dyDescent="0.2">
      <c r="A12" t="s">
        <v>74</v>
      </c>
      <c r="B12" s="8" t="str">
        <f>_xll.BC($A$12,"DAJ")</f>
        <v>#BCONN</v>
      </c>
      <c r="C12" s="1" t="str">
        <f>_xll.BC($A$12,"AJUT")</f>
        <v>#BCONN</v>
      </c>
      <c r="D12" s="1" t="str">
        <f>_xll.BC($A$12,"AJU")</f>
        <v>#BCONN</v>
      </c>
      <c r="E12" s="1" t="str">
        <f>_xll.BC($A$12,"CAB")</f>
        <v>#BCONN</v>
      </c>
      <c r="F12" s="1" t="str">
        <f>_xll.BC($A$12,"CNG")</f>
        <v>#BCONN</v>
      </c>
      <c r="G12" s="1" t="str">
        <f>_xll.BC($A$12,"NEG")</f>
        <v>#BCONN</v>
      </c>
    </row>
    <row r="13" spans="1:7" x14ac:dyDescent="0.2">
      <c r="A13" t="s">
        <v>107</v>
      </c>
      <c r="B13" s="8" t="str">
        <f>_xll.BC($A$13,"DAJ")</f>
        <v>#BCONN</v>
      </c>
      <c r="C13" s="1" t="str">
        <f>_xll.BC($A$13,"AJUT")</f>
        <v>#BCONN</v>
      </c>
      <c r="D13" s="1" t="str">
        <f>_xll.BC($A$13,"AJU")</f>
        <v>#BCONN</v>
      </c>
      <c r="E13" s="1" t="str">
        <f>_xll.BC($A$13,"CAB")</f>
        <v>#BCONN</v>
      </c>
      <c r="F13" s="1" t="str">
        <f>_xll.BC($A$13,"CNG")</f>
        <v>#BCONN</v>
      </c>
      <c r="G13" s="1" t="str">
        <f>_xll.BC($A$13,"NEG")</f>
        <v>#BCONN</v>
      </c>
    </row>
    <row r="14" spans="1:7" x14ac:dyDescent="0.2">
      <c r="A14" t="s">
        <v>173</v>
      </c>
      <c r="B14" s="8" t="str">
        <f>_xll.BC($A$14,"DAJ")</f>
        <v>#BCONN</v>
      </c>
      <c r="C14" s="1" t="str">
        <f>_xll.BC($A$14,"AJUT")</f>
        <v>#BCONN</v>
      </c>
      <c r="D14" s="1" t="str">
        <f>_xll.BC($A$14,"AJU")</f>
        <v>#BCONN</v>
      </c>
      <c r="E14" s="1" t="str">
        <f>_xll.BC($A$14,"CAB")</f>
        <v>#BCONN</v>
      </c>
      <c r="F14" s="1" t="str">
        <f>_xll.BC($A$14,"CNG")</f>
        <v>#BCONN</v>
      </c>
      <c r="G14" s="1" t="str">
        <f>_xll.BC($A$14,"NEG")</f>
        <v>#BCONN</v>
      </c>
    </row>
    <row r="15" spans="1:7" x14ac:dyDescent="0.2">
      <c r="A15" t="s">
        <v>174</v>
      </c>
      <c r="B15" s="8" t="str">
        <f>_xll.BC($A$15,"DAJ")</f>
        <v>#BCONN</v>
      </c>
      <c r="C15" s="1" t="e">
        <f>_xll.BC($A$15,"AJUT")</f>
        <v>#VALUE!</v>
      </c>
      <c r="D15" s="1" t="e">
        <f>_xll.BC($A$15,"AJU")</f>
        <v>#VALUE!</v>
      </c>
      <c r="E15" s="1" t="e">
        <f>_xll.BC($A$15,"CAB")</f>
        <v>#VALUE!</v>
      </c>
      <c r="F15" s="1" t="e">
        <f>_xll.BC($A$15,"CNG")</f>
        <v>#VALUE!</v>
      </c>
      <c r="G15" s="1" t="e">
        <f>_xll.BC($A$15,"NEG")</f>
        <v>#VALUE!</v>
      </c>
    </row>
    <row r="16" spans="1:7" x14ac:dyDescent="0.2">
      <c r="A16" t="s">
        <v>75</v>
      </c>
      <c r="B16" s="8" t="e">
        <f>_xll.BC($A$16,"DAJ")</f>
        <v>#VALUE!</v>
      </c>
      <c r="C16" s="1" t="e">
        <f>_xll.BC($A$16,"AJUT")</f>
        <v>#VALUE!</v>
      </c>
      <c r="D16" s="1" t="e">
        <f>_xll.BC($A$16,"AJU")</f>
        <v>#VALUE!</v>
      </c>
      <c r="E16" s="1" t="e">
        <f>_xll.BC($A$16,"CAB")</f>
        <v>#VALUE!</v>
      </c>
      <c r="F16" s="1" t="e">
        <f>_xll.BC($A$16,"CNG")</f>
        <v>#VALUE!</v>
      </c>
      <c r="G16" s="1" t="e">
        <f>_xll.BC($A$16,"NEG")</f>
        <v>#VALUE!</v>
      </c>
    </row>
    <row r="17" spans="1:7" x14ac:dyDescent="0.2">
      <c r="A17" t="s">
        <v>175</v>
      </c>
      <c r="B17" s="8" t="e">
        <f>_xll.BC($A$17,"DAJ")</f>
        <v>#VALUE!</v>
      </c>
      <c r="C17" s="1" t="e">
        <f>_xll.BC($A$17,"AJUT")</f>
        <v>#VALUE!</v>
      </c>
      <c r="D17" s="1" t="e">
        <f>_xll.BC($A$17,"AJU")</f>
        <v>#VALUE!</v>
      </c>
      <c r="E17" s="1" t="e">
        <f>_xll.BC($A$17,"CAB")</f>
        <v>#VALUE!</v>
      </c>
      <c r="F17" s="1" t="e">
        <f>_xll.BC($A$17,"CNG")</f>
        <v>#VALUE!</v>
      </c>
      <c r="G17" s="1" t="e">
        <f>_xll.BC($A$17,"NEG")</f>
        <v>#VALUE!</v>
      </c>
    </row>
    <row r="18" spans="1:7" x14ac:dyDescent="0.2">
      <c r="A18" t="s">
        <v>196</v>
      </c>
      <c r="B18" s="8" t="e">
        <f>_xll.BC($A$18,"DAJ")</f>
        <v>#VALUE!</v>
      </c>
      <c r="C18" s="1" t="e">
        <f>_xll.BC($A$18,"AJUT")</f>
        <v>#VALUE!</v>
      </c>
      <c r="D18" s="1" t="e">
        <f>_xll.BC($A$18,"AJU")</f>
        <v>#VALUE!</v>
      </c>
      <c r="E18" s="1" t="e">
        <f>_xll.BC($A$18,"CAB")</f>
        <v>#VALUE!</v>
      </c>
      <c r="F18" s="1" t="e">
        <f>_xll.BC($A$18,"CNG")</f>
        <v>#VALUE!</v>
      </c>
      <c r="G18" s="1" t="e">
        <f>_xll.BC($A$18,"NEG")</f>
        <v>#VALUE!</v>
      </c>
    </row>
    <row r="19" spans="1:7" x14ac:dyDescent="0.2">
      <c r="A19" t="s">
        <v>197</v>
      </c>
      <c r="B19" s="8" t="e">
        <f>_xll.BC($A$19,"DAJ")</f>
        <v>#VALUE!</v>
      </c>
      <c r="C19" s="1" t="e">
        <f>_xll.BC($A$19,"AJUT")</f>
        <v>#VALUE!</v>
      </c>
      <c r="D19" s="1" t="e">
        <f>_xll.BC($A$19,"AJU")</f>
        <v>#VALUE!</v>
      </c>
      <c r="E19" s="1" t="e">
        <f>_xll.BC($A$19,"CAB")</f>
        <v>#VALUE!</v>
      </c>
      <c r="F19" s="1" t="e">
        <f>_xll.BC($A$19,"CNG")</f>
        <v>#VALUE!</v>
      </c>
      <c r="G19" s="1" t="e">
        <f>_xll.BC($A$19,"NEG")</f>
        <v>#VALUE!</v>
      </c>
    </row>
    <row r="20" spans="1:7" x14ac:dyDescent="0.2">
      <c r="A20" t="s">
        <v>76</v>
      </c>
      <c r="B20" s="8" t="e">
        <f>_xll.BC($A$20,"DAJ")</f>
        <v>#VALUE!</v>
      </c>
      <c r="C20" s="1" t="e">
        <f>_xll.BC($A$20,"AJUT")</f>
        <v>#VALUE!</v>
      </c>
      <c r="D20" s="1" t="e">
        <f>_xll.BC($A$20,"AJU")</f>
        <v>#VALUE!</v>
      </c>
      <c r="E20" s="1" t="e">
        <f>_xll.BC($A$20,"CAB")</f>
        <v>#VALUE!</v>
      </c>
      <c r="F20" s="1" t="e">
        <f>_xll.BC($A$20,"CNG")</f>
        <v>#VALUE!</v>
      </c>
      <c r="G20" s="1" t="e">
        <f>_xll.BC($A$20,"NEG")</f>
        <v>#VALUE!</v>
      </c>
    </row>
    <row r="21" spans="1:7" x14ac:dyDescent="0.2">
      <c r="A21" t="s">
        <v>77</v>
      </c>
      <c r="B21" s="8" t="e">
        <f>_xll.BC($A$21,"DAJ")</f>
        <v>#VALUE!</v>
      </c>
      <c r="C21" s="1" t="e">
        <f>_xll.BC($A$21,"AJUT")</f>
        <v>#VALUE!</v>
      </c>
      <c r="D21" s="1" t="e">
        <f>_xll.BC($A$21,"AJU")</f>
        <v>#VALUE!</v>
      </c>
      <c r="E21" s="1" t="e">
        <f>_xll.BC($A$21,"CAB")</f>
        <v>#VALUE!</v>
      </c>
      <c r="F21" s="1" t="e">
        <f>_xll.BC($A$21,"CNG")</f>
        <v>#VALUE!</v>
      </c>
      <c r="G21" s="1" t="e">
        <f>_xll.BC($A$21,"NEG")</f>
        <v>#VALUE!</v>
      </c>
    </row>
    <row r="22" spans="1:7" x14ac:dyDescent="0.2">
      <c r="A22" t="s">
        <v>176</v>
      </c>
      <c r="B22" s="8" t="e">
        <f>_xll.BC($A$22,"DAJ")</f>
        <v>#VALUE!</v>
      </c>
      <c r="C22" s="1" t="e">
        <f>_xll.BC($A$22,"AJUT")</f>
        <v>#VALUE!</v>
      </c>
      <c r="D22" s="1" t="e">
        <f>_xll.BC($A$22,"AJU")</f>
        <v>#VALUE!</v>
      </c>
      <c r="E22" s="1" t="e">
        <f>_xll.BC($A$22,"CAB")</f>
        <v>#VALUE!</v>
      </c>
      <c r="F22" s="1" t="e">
        <f>_xll.BC($A$22,"CNG")</f>
        <v>#VALUE!</v>
      </c>
      <c r="G22" s="1" t="e">
        <f>_xll.BC($A$22,"NEG")</f>
        <v>#VALUE!</v>
      </c>
    </row>
    <row r="23" spans="1:7" x14ac:dyDescent="0.2">
      <c r="A23" t="s">
        <v>198</v>
      </c>
      <c r="B23" s="8" t="e">
        <f>_xll.BC($A$23,"DAJ")</f>
        <v>#VALUE!</v>
      </c>
      <c r="C23" s="1" t="e">
        <f>_xll.BC($A$23,"AJUT")</f>
        <v>#VALUE!</v>
      </c>
      <c r="D23" s="1" t="e">
        <f>_xll.BC($A$23,"AJU")</f>
        <v>#VALUE!</v>
      </c>
      <c r="E23" s="1" t="e">
        <f>_xll.BC($A$23,"CAB")</f>
        <v>#VALUE!</v>
      </c>
      <c r="F23" s="1" t="e">
        <f>_xll.BC($A$23,"CNG")</f>
        <v>#VALUE!</v>
      </c>
      <c r="G23" s="1" t="e">
        <f>_xll.BC($A$23,"NEG")</f>
        <v>#VALUE!</v>
      </c>
    </row>
    <row r="24" spans="1:7" x14ac:dyDescent="0.2">
      <c r="A24" t="s">
        <v>78</v>
      </c>
      <c r="B24" s="8" t="e">
        <f>_xll.BC($A$24,"DAJ")</f>
        <v>#VALUE!</v>
      </c>
      <c r="C24" s="1" t="e">
        <f>_xll.BC($A$24,"AJUT")</f>
        <v>#VALUE!</v>
      </c>
      <c r="D24" s="1" t="e">
        <f>_xll.BC($A$24,"AJU")</f>
        <v>#VALUE!</v>
      </c>
      <c r="E24" s="1" t="e">
        <f>_xll.BC($A$24,"CAB")</f>
        <v>#VALUE!</v>
      </c>
      <c r="F24" s="1" t="e">
        <f>_xll.BC($A$24,"CNG")</f>
        <v>#VALUE!</v>
      </c>
      <c r="G24" s="1" t="e">
        <f>_xll.BC($A$24,"NEG")</f>
        <v>#VALUE!</v>
      </c>
    </row>
    <row r="25" spans="1:7" x14ac:dyDescent="0.2">
      <c r="A25" t="s">
        <v>177</v>
      </c>
      <c r="B25" s="8" t="e">
        <f>_xll.BC($A$25,"DAJ")</f>
        <v>#VALUE!</v>
      </c>
      <c r="C25" s="1" t="e">
        <f>_xll.BC($A$25,"AJUT")</f>
        <v>#VALUE!</v>
      </c>
      <c r="D25" s="1" t="e">
        <f>_xll.BC($A$25,"AJU")</f>
        <v>#VALUE!</v>
      </c>
      <c r="E25" s="1" t="e">
        <f>_xll.BC($A$25,"CAB")</f>
        <v>#VALUE!</v>
      </c>
      <c r="F25" s="1" t="e">
        <f>_xll.BC($A$25,"CNG")</f>
        <v>#VALUE!</v>
      </c>
      <c r="G25" s="1" t="e">
        <f>_xll.BC($A$25,"NEG")</f>
        <v>#VALUE!</v>
      </c>
    </row>
    <row r="26" spans="1:7" x14ac:dyDescent="0.2">
      <c r="A26" t="s">
        <v>79</v>
      </c>
      <c r="B26" s="8" t="e">
        <f>_xll.BC($A$26,"DAJ")</f>
        <v>#VALUE!</v>
      </c>
      <c r="C26" s="1" t="e">
        <f>_xll.BC($A$26,"AJUT")</f>
        <v>#VALUE!</v>
      </c>
      <c r="D26" s="1" t="e">
        <f>_xll.BC($A$26,"AJU")</f>
        <v>#VALUE!</v>
      </c>
      <c r="E26" s="1" t="e">
        <f>_xll.BC($A$26,"CAB")</f>
        <v>#VALUE!</v>
      </c>
      <c r="F26" s="1" t="e">
        <f>_xll.BC($A$26,"CNG")</f>
        <v>#VALUE!</v>
      </c>
      <c r="G26" s="1" t="e">
        <f>_xll.BC($A$26,"NEG")</f>
        <v>#VALUE!</v>
      </c>
    </row>
    <row r="27" spans="1:7" x14ac:dyDescent="0.2">
      <c r="A27" t="s">
        <v>178</v>
      </c>
      <c r="B27" s="8" t="e">
        <f>_xll.BC($A$27,"DAJ")</f>
        <v>#VALUE!</v>
      </c>
      <c r="C27" s="1" t="e">
        <f>_xll.BC($A$27,"AJUT")</f>
        <v>#VALUE!</v>
      </c>
      <c r="D27" s="1" t="e">
        <f>_xll.BC($A$27,"AJU")</f>
        <v>#VALUE!</v>
      </c>
      <c r="E27" s="1" t="e">
        <f>_xll.BC($A$27,"CAB")</f>
        <v>#VALUE!</v>
      </c>
      <c r="F27" s="1" t="e">
        <f>_xll.BC($A$27,"CNG")</f>
        <v>#VALUE!</v>
      </c>
      <c r="G27" s="1" t="e">
        <f>_xll.BC($A$27,"NEG")</f>
        <v>#VALUE!</v>
      </c>
    </row>
    <row r="28" spans="1:7" x14ac:dyDescent="0.2">
      <c r="A28" t="s">
        <v>80</v>
      </c>
      <c r="B28" s="8" t="e">
        <f>_xll.BC($A$28,"DAJ")</f>
        <v>#VALUE!</v>
      </c>
      <c r="C28" s="1" t="e">
        <f>_xll.BC($A$28,"AJUT")</f>
        <v>#VALUE!</v>
      </c>
      <c r="D28" s="1" t="e">
        <f>_xll.BC($A$28,"AJU")</f>
        <v>#VALUE!</v>
      </c>
      <c r="E28" s="1" t="e">
        <f>_xll.BC($A$28,"CAB")</f>
        <v>#VALUE!</v>
      </c>
      <c r="F28" s="1" t="e">
        <f>_xll.BC($A$28,"CNG")</f>
        <v>#VALUE!</v>
      </c>
      <c r="G28" s="1" t="e">
        <f>_xll.BC($A$28,"NEG")</f>
        <v>#VALUE!</v>
      </c>
    </row>
    <row r="29" spans="1:7" x14ac:dyDescent="0.2">
      <c r="A29" t="s">
        <v>108</v>
      </c>
      <c r="B29" s="8" t="e">
        <f>_xll.BC($A$29,"DAJ")</f>
        <v>#VALUE!</v>
      </c>
      <c r="C29" s="1" t="e">
        <f>_xll.BC($A$29,"AJUT")</f>
        <v>#VALUE!</v>
      </c>
      <c r="D29" s="1" t="e">
        <f>_xll.BC($A$29,"AJU")</f>
        <v>#VALUE!</v>
      </c>
      <c r="E29" s="1" t="e">
        <f>_xll.BC($A$29,"CAB")</f>
        <v>#VALUE!</v>
      </c>
      <c r="F29" s="1" t="e">
        <f>_xll.BC($A$29,"CNG")</f>
        <v>#VALUE!</v>
      </c>
      <c r="G29" s="1" t="e">
        <f>_xll.BC($A$29,"NEG")</f>
        <v>#VALUE!</v>
      </c>
    </row>
    <row r="30" spans="1:7" x14ac:dyDescent="0.2">
      <c r="A30" t="s">
        <v>199</v>
      </c>
      <c r="B30" s="8" t="e">
        <f>_xll.BC($A$30,"DAJ")</f>
        <v>#VALUE!</v>
      </c>
      <c r="C30" s="1" t="e">
        <f>_xll.BC($A$30,"AJUT")</f>
        <v>#VALUE!</v>
      </c>
      <c r="D30" s="1" t="e">
        <f>_xll.BC($A$30,"AJU")</f>
        <v>#VALUE!</v>
      </c>
      <c r="E30" s="1" t="e">
        <f>_xll.BC($A$30,"CAB")</f>
        <v>#VALUE!</v>
      </c>
      <c r="F30" s="1" t="e">
        <f>_xll.BC($A$30,"CNG")</f>
        <v>#VALUE!</v>
      </c>
      <c r="G30" s="1" t="e">
        <f>_xll.BC($A$30,"NEG")</f>
        <v>#VALUE!</v>
      </c>
    </row>
    <row r="31" spans="1:7" x14ac:dyDescent="0.2">
      <c r="A31" t="s">
        <v>200</v>
      </c>
      <c r="B31" s="8" t="e">
        <f>_xll.BC($A$31,"DAJ")</f>
        <v>#VALUE!</v>
      </c>
      <c r="C31" s="1" t="e">
        <f>_xll.BC($A$31,"AJUT")</f>
        <v>#VALUE!</v>
      </c>
      <c r="D31" s="1" t="e">
        <f>_xll.BC($A$31,"AJU")</f>
        <v>#VALUE!</v>
      </c>
      <c r="E31" s="1" t="e">
        <f>_xll.BC($A$31,"CAB")</f>
        <v>#VALUE!</v>
      </c>
      <c r="F31" s="1" t="e">
        <f>_xll.BC($A$31,"CNG")</f>
        <v>#VALUE!</v>
      </c>
      <c r="G31" s="1" t="e">
        <f>_xll.BC($A$31,"NEG")</f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B291-3DD2-4E60-83B7-43B17042FB88}">
  <sheetPr codeName="Sheet3"/>
  <dimension ref="A1:G27"/>
  <sheetViews>
    <sheetView workbookViewId="0">
      <selection activeCell="E1" sqref="E1"/>
    </sheetView>
  </sheetViews>
  <sheetFormatPr defaultRowHeight="12" x14ac:dyDescent="0.2"/>
  <cols>
    <col min="2" max="2" width="1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110</v>
      </c>
    </row>
    <row r="2" spans="1:7" x14ac:dyDescent="0.2">
      <c r="A2" t="s">
        <v>70</v>
      </c>
      <c r="B2" s="8" t="str">
        <f>_xll.BC($A$2,"DAJ")</f>
        <v>#BCONN</v>
      </c>
      <c r="C2" s="1" t="str">
        <f>_xll.BC($A$2,"AJUT")</f>
        <v>#BCONN</v>
      </c>
      <c r="D2" s="1" t="str">
        <f>_xll.BC($A$2,"AJU")</f>
        <v>#BCONN</v>
      </c>
      <c r="E2" s="1" t="str">
        <f>_xll.BC($A$2,"CAB")</f>
        <v>#BCONN</v>
      </c>
      <c r="F2" s="1" t="str">
        <f>_xll.BC($A$2,"CNG")</f>
        <v>#BCONN</v>
      </c>
      <c r="G2" s="1" t="str">
        <f>_xll.BC($A$2,"NEG")</f>
        <v>#BCONN</v>
      </c>
    </row>
    <row r="3" spans="1:7" x14ac:dyDescent="0.2">
      <c r="A3" t="s">
        <v>114</v>
      </c>
      <c r="B3" s="8" t="str">
        <f>_xll.BC($A$3,"DAJ")</f>
        <v>#BCONN</v>
      </c>
      <c r="C3" s="1" t="str">
        <f>_xll.BC($A$3,"AJUT")</f>
        <v>#BCONN</v>
      </c>
      <c r="D3" s="1" t="str">
        <f>_xll.BC($A$3,"AJU")</f>
        <v>#BCONN</v>
      </c>
      <c r="E3" s="1" t="str">
        <f>_xll.BC($A$3,"CAB")</f>
        <v>#BCONN</v>
      </c>
      <c r="F3" s="1" t="str">
        <f>_xll.BC($A$3,"CNG")</f>
        <v>#BCONN</v>
      </c>
      <c r="G3" s="1" t="str">
        <f>_xll.BC($A$3,"NEG")</f>
        <v>#BCONN</v>
      </c>
    </row>
    <row r="4" spans="1:7" x14ac:dyDescent="0.2">
      <c r="A4" t="s">
        <v>115</v>
      </c>
      <c r="B4" s="8" t="str">
        <f>_xll.BC($A$4,"DAJ")</f>
        <v>#BCONN</v>
      </c>
      <c r="C4" s="1" t="str">
        <f>_xll.BC($A$4,"AJUT")</f>
        <v>#BCONN</v>
      </c>
      <c r="D4" s="1" t="str">
        <f>_xll.BC($A$4,"AJU")</f>
        <v>#BCONN</v>
      </c>
      <c r="E4" s="1" t="str">
        <f>_xll.BC($A$4,"CAB")</f>
        <v>#BCONN</v>
      </c>
      <c r="F4" s="1" t="str">
        <f>_xll.BC($A$4,"CNG")</f>
        <v>#BCONN</v>
      </c>
      <c r="G4" s="1" t="str">
        <f>_xll.BC($A$4,"NEG")</f>
        <v>#BCONN</v>
      </c>
    </row>
    <row r="5" spans="1:7" x14ac:dyDescent="0.2">
      <c r="A5" t="s">
        <v>71</v>
      </c>
      <c r="B5" s="8" t="str">
        <f>_xll.BC($A$5,"DAJ")</f>
        <v>#BCONN</v>
      </c>
      <c r="C5" s="1" t="str">
        <f>_xll.BC($A$5,"AJUT")</f>
        <v>#BCONN</v>
      </c>
      <c r="D5" s="1" t="str">
        <f>_xll.BC($A$5,"AJU")</f>
        <v>#BCONN</v>
      </c>
      <c r="E5" s="1" t="str">
        <f>_xll.BC($A$5,"CAB")</f>
        <v>#BCONN</v>
      </c>
      <c r="F5" s="1" t="str">
        <f>_xll.BC($A$5,"CNG")</f>
        <v>#BCONN</v>
      </c>
      <c r="G5" s="1" t="str">
        <f>_xll.BC($A$5,"NEG")</f>
        <v>#BCONN</v>
      </c>
    </row>
    <row r="6" spans="1:7" x14ac:dyDescent="0.2">
      <c r="A6" t="s">
        <v>72</v>
      </c>
      <c r="B6" s="8" t="str">
        <f>_xll.BC($A$6,"DAJ")</f>
        <v>#BCONN</v>
      </c>
      <c r="C6" s="1" t="str">
        <f>_xll.BC($A$6,"AJUT")</f>
        <v>#BCONN</v>
      </c>
      <c r="D6" s="1" t="str">
        <f>_xll.BC($A$6,"AJU")</f>
        <v>#BCONN</v>
      </c>
      <c r="E6" s="1" t="str">
        <f>_xll.BC($A$6,"CAB")</f>
        <v>#BCONN</v>
      </c>
      <c r="F6" s="1" t="str">
        <f>_xll.BC($A$6,"CNG")</f>
        <v>#BCONN</v>
      </c>
      <c r="G6" s="1" t="str">
        <f>_xll.BC($A$6,"NEG")</f>
        <v>#BCONN</v>
      </c>
    </row>
    <row r="7" spans="1:7" x14ac:dyDescent="0.2">
      <c r="A7" t="s">
        <v>116</v>
      </c>
      <c r="B7" s="8" t="str">
        <f>_xll.BC($A$7,"DAJ")</f>
        <v>#BCONN</v>
      </c>
      <c r="C7" s="1" t="str">
        <f>_xll.BC($A$7,"AJUT")</f>
        <v>#BCONN</v>
      </c>
      <c r="D7" s="1" t="str">
        <f>_xll.BC($A$7,"AJU")</f>
        <v>#BCONN</v>
      </c>
      <c r="E7" s="1" t="str">
        <f>_xll.BC($A$7,"CAB")</f>
        <v>#BCONN</v>
      </c>
      <c r="F7" s="1" t="str">
        <f>_xll.BC($A$7,"CNG")</f>
        <v>#BCONN</v>
      </c>
      <c r="G7" s="1" t="str">
        <f>_xll.BC($A$7,"NEG")</f>
        <v>#BCONN</v>
      </c>
    </row>
    <row r="8" spans="1:7" x14ac:dyDescent="0.2">
      <c r="A8" t="s">
        <v>117</v>
      </c>
      <c r="B8" s="8" t="str">
        <f>_xll.BC($A$8,"DAJ")</f>
        <v>#BCONN</v>
      </c>
      <c r="C8" s="1" t="str">
        <f>_xll.BC($A$8,"AJUT")</f>
        <v>#BCONN</v>
      </c>
      <c r="D8" s="1" t="str">
        <f>_xll.BC($A$8,"AJU")</f>
        <v>#BCONN</v>
      </c>
      <c r="E8" s="1" t="str">
        <f>_xll.BC($A$8,"CAB")</f>
        <v>#BCONN</v>
      </c>
      <c r="F8" s="1" t="str">
        <f>_xll.BC($A$8,"CNG")</f>
        <v>#BCONN</v>
      </c>
      <c r="G8" s="1" t="str">
        <f>_xll.BC($A$8,"NEG")</f>
        <v>#BCONN</v>
      </c>
    </row>
    <row r="9" spans="1:7" x14ac:dyDescent="0.2">
      <c r="A9" t="s">
        <v>102</v>
      </c>
      <c r="B9" s="8" t="str">
        <f>_xll.BC($A$9,"DAJ")</f>
        <v>#BCONN</v>
      </c>
      <c r="C9" s="1" t="str">
        <f>_xll.BC($A$9,"AJUT")</f>
        <v>#BCONN</v>
      </c>
      <c r="D9" s="1" t="str">
        <f>_xll.BC($A$9,"AJU")</f>
        <v>#BCONN</v>
      </c>
      <c r="E9" s="1" t="str">
        <f>_xll.BC($A$9,"CAB")</f>
        <v>#BCONN</v>
      </c>
      <c r="F9" s="1" t="str">
        <f>_xll.BC($A$9,"CNG")</f>
        <v>#BCONN</v>
      </c>
      <c r="G9" s="1" t="str">
        <f>_xll.BC($A$9,"NEG")</f>
        <v>#BCONN</v>
      </c>
    </row>
    <row r="10" spans="1:7" x14ac:dyDescent="0.2">
      <c r="A10" t="s">
        <v>154</v>
      </c>
      <c r="B10" s="8" t="str">
        <f>_xll.BC($A$10,"DAJ")</f>
        <v>#BCONN</v>
      </c>
      <c r="C10" s="1" t="str">
        <f>_xll.BC($A$10,"AJUT")</f>
        <v>#BCONN</v>
      </c>
      <c r="D10" s="1" t="str">
        <f>_xll.BC($A$10,"AJU")</f>
        <v>#BCONN</v>
      </c>
      <c r="E10" s="1" t="str">
        <f>_xll.BC($A$10,"CAB")</f>
        <v>#BCONN</v>
      </c>
      <c r="F10" s="1" t="str">
        <f>_xll.BC($A$10,"CNG")</f>
        <v>#BCONN</v>
      </c>
      <c r="G10" s="1" t="str">
        <f>_xll.BC($A$10,"NEG")</f>
        <v>#BCONN</v>
      </c>
    </row>
    <row r="11" spans="1:7" x14ac:dyDescent="0.2">
      <c r="A11" t="s">
        <v>155</v>
      </c>
      <c r="B11" s="8" t="str">
        <f>_xll.BC($A$11,"DAJ")</f>
        <v>#BCONN</v>
      </c>
      <c r="C11" s="1" t="str">
        <f>_xll.BC($A$11,"AJUT")</f>
        <v>#BCONN</v>
      </c>
      <c r="D11" s="1" t="str">
        <f>_xll.BC($A$11,"AJU")</f>
        <v>#BCONN</v>
      </c>
      <c r="E11" s="1" t="str">
        <f>_xll.BC($A$11,"CAB")</f>
        <v>#BCONN</v>
      </c>
      <c r="F11" s="1" t="str">
        <f>_xll.BC($A$11,"CNG")</f>
        <v>#BCONN</v>
      </c>
      <c r="G11" s="1" t="str">
        <f>_xll.BC($A$11,"NEG")</f>
        <v>#BCONN</v>
      </c>
    </row>
    <row r="12" spans="1:7" x14ac:dyDescent="0.2">
      <c r="A12" t="s">
        <v>156</v>
      </c>
      <c r="B12" s="8" t="str">
        <f>_xll.BC($A$12,"DAJ")</f>
        <v>#BCONN</v>
      </c>
      <c r="C12" s="1" t="str">
        <f>_xll.BC($A$12,"AJUT")</f>
        <v>#BCONN</v>
      </c>
      <c r="D12" s="1" t="str">
        <f>_xll.BC($A$12,"AJU")</f>
        <v>#BCONN</v>
      </c>
      <c r="E12" s="1" t="str">
        <f>_xll.BC($A$12,"CAB")</f>
        <v>#BCONN</v>
      </c>
      <c r="F12" s="1" t="str">
        <f>_xll.BC($A$12,"CNG")</f>
        <v>#BCONN</v>
      </c>
      <c r="G12" s="1" t="str">
        <f>_xll.BC($A$12,"NEG")</f>
        <v>#BCONN</v>
      </c>
    </row>
    <row r="13" spans="1:7" x14ac:dyDescent="0.2">
      <c r="A13" t="s">
        <v>157</v>
      </c>
      <c r="B13" s="8" t="str">
        <f>_xll.BC($A$13,"DAJ")</f>
        <v>#BCONN</v>
      </c>
      <c r="C13" s="1" t="str">
        <f>_xll.BC($A$13,"AJUT")</f>
        <v>#BCONN</v>
      </c>
      <c r="D13" s="1" t="str">
        <f>_xll.BC($A$13,"AJU")</f>
        <v>#BCONN</v>
      </c>
      <c r="E13" s="1" t="str">
        <f>_xll.BC($A$13,"CAB")</f>
        <v>#BCONN</v>
      </c>
      <c r="F13" s="1" t="str">
        <f>_xll.BC($A$13,"CNG")</f>
        <v>#BCONN</v>
      </c>
      <c r="G13" s="1" t="str">
        <f>_xll.BC($A$13,"NEG")</f>
        <v>#BCONN</v>
      </c>
    </row>
    <row r="14" spans="1:7" x14ac:dyDescent="0.2">
      <c r="A14" t="s">
        <v>158</v>
      </c>
      <c r="B14" s="8" t="str">
        <f>_xll.BC($A$14,"DAJ")</f>
        <v>#BCONN</v>
      </c>
      <c r="C14" s="1" t="str">
        <f>_xll.BC($A$14,"AJUT")</f>
        <v>#BCONN</v>
      </c>
      <c r="D14" s="1" t="str">
        <f>_xll.BC($A$14,"AJU")</f>
        <v>#BCONN</v>
      </c>
      <c r="E14" s="1" t="str">
        <f>_xll.BC($A$14,"CAB")</f>
        <v>#BCONN</v>
      </c>
      <c r="F14" s="1" t="str">
        <f>_xll.BC($A$14,"CNG")</f>
        <v>#BCONN</v>
      </c>
      <c r="G14" s="1" t="str">
        <f>_xll.BC($A$14,"NEG")</f>
        <v>#BCONN</v>
      </c>
    </row>
    <row r="15" spans="1:7" x14ac:dyDescent="0.2">
      <c r="A15" t="s">
        <v>159</v>
      </c>
      <c r="B15" s="8" t="str">
        <f>_xll.BC($A$15,"DAJ")</f>
        <v>#BCONN</v>
      </c>
      <c r="C15" s="1" t="str">
        <f>_xll.BC($A$15,"AJUT")</f>
        <v>#BCONN</v>
      </c>
      <c r="D15" s="1" t="str">
        <f>_xll.BC($A$15,"AJU")</f>
        <v>#BCONN</v>
      </c>
      <c r="E15" s="1" t="str">
        <f>_xll.BC($A$15,"CAB")</f>
        <v>#BCONN</v>
      </c>
      <c r="F15" s="1" t="str">
        <f>_xll.BC($A$15,"CNG")</f>
        <v>#BCONN</v>
      </c>
      <c r="G15" s="1" t="str">
        <f>_xll.BC($A$15,"NEG")</f>
        <v>#BCONN</v>
      </c>
    </row>
    <row r="16" spans="1:7" x14ac:dyDescent="0.2">
      <c r="A16" t="s">
        <v>160</v>
      </c>
      <c r="B16" s="8" t="str">
        <f>_xll.BC($A$16,"DAJ")</f>
        <v>#BCONN</v>
      </c>
      <c r="C16" s="1" t="str">
        <f>_xll.BC($A$16,"AJUT")</f>
        <v>#BCONN</v>
      </c>
      <c r="D16" s="1" t="str">
        <f>_xll.BC($A$16,"AJU")</f>
        <v>#BCONN</v>
      </c>
      <c r="E16" s="1" t="str">
        <f>_xll.BC($A$16,"CAB")</f>
        <v>#BCONN</v>
      </c>
      <c r="F16" s="1" t="str">
        <f>_xll.BC($A$16,"CNG")</f>
        <v>#BCONN</v>
      </c>
      <c r="G16" s="1" t="str">
        <f>_xll.BC($A$16,"NEG")</f>
        <v>#BCONN</v>
      </c>
    </row>
    <row r="17" spans="1:7" x14ac:dyDescent="0.2">
      <c r="A17" t="s">
        <v>161</v>
      </c>
      <c r="B17" s="8" t="str">
        <f>_xll.BC($A$17,"DAJ")</f>
        <v>#BCONN</v>
      </c>
      <c r="C17" s="1" t="str">
        <f>_xll.BC($A$17,"AJUT")</f>
        <v>#BCONN</v>
      </c>
      <c r="D17" s="1" t="str">
        <f>_xll.BC($A$17,"AJU")</f>
        <v>#BCONN</v>
      </c>
      <c r="E17" s="1" t="str">
        <f>_xll.BC($A$17,"CAB")</f>
        <v>#BCONN</v>
      </c>
      <c r="F17" s="1" t="str">
        <f>_xll.BC($A$17,"CNG")</f>
        <v>#BCONN</v>
      </c>
      <c r="G17" s="1" t="str">
        <f>_xll.BC($A$17,"NEG")</f>
        <v>#BCONN</v>
      </c>
    </row>
    <row r="18" spans="1:7" x14ac:dyDescent="0.2">
      <c r="A18" t="s">
        <v>162</v>
      </c>
      <c r="B18" s="8" t="str">
        <f>_xll.BC($A$18,"DAJ")</f>
        <v>#BCONN</v>
      </c>
      <c r="C18" s="1" t="str">
        <f>_xll.BC($A$18,"AJUT")</f>
        <v>#BCONN</v>
      </c>
      <c r="D18" s="1" t="str">
        <f>_xll.BC($A$18,"AJU")</f>
        <v>#BCONN</v>
      </c>
      <c r="E18" s="1" t="str">
        <f>_xll.BC($A$18,"CAB")</f>
        <v>#BCONN</v>
      </c>
      <c r="F18" s="1" t="str">
        <f>_xll.BC($A$18,"CNG")</f>
        <v>#BCONN</v>
      </c>
      <c r="G18" s="1" t="str">
        <f>_xll.BC($A$18,"NEG")</f>
        <v>#BCONN</v>
      </c>
    </row>
    <row r="19" spans="1:7" x14ac:dyDescent="0.2">
      <c r="A19" t="s">
        <v>163</v>
      </c>
      <c r="B19" s="8" t="str">
        <f>_xll.BC($A$19,"DAJ")</f>
        <v>#BCONN</v>
      </c>
      <c r="C19" s="1" t="str">
        <f>_xll.BC($A$19,"AJUT")</f>
        <v>#BCONN</v>
      </c>
      <c r="D19" s="1" t="str">
        <f>_xll.BC($A$19,"AJU")</f>
        <v>#BCONN</v>
      </c>
      <c r="E19" s="1" t="str">
        <f>_xll.BC($A$19,"CAB")</f>
        <v>#BCONN</v>
      </c>
      <c r="F19" s="1" t="str">
        <f>_xll.BC($A$19,"CNG")</f>
        <v>#BCONN</v>
      </c>
      <c r="G19" s="1" t="str">
        <f>_xll.BC($A$19,"NEG")</f>
        <v>#BCONN</v>
      </c>
    </row>
    <row r="20" spans="1:7" x14ac:dyDescent="0.2">
      <c r="A20" t="s">
        <v>164</v>
      </c>
      <c r="B20" s="8" t="str">
        <f>_xll.BC($A$20,"DAJ")</f>
        <v>#BCONN</v>
      </c>
      <c r="C20" s="1" t="str">
        <f>_xll.BC($A$20,"AJUT")</f>
        <v>#BCONN</v>
      </c>
      <c r="D20" s="1" t="str">
        <f>_xll.BC($A$20,"AJU")</f>
        <v>#BCONN</v>
      </c>
      <c r="E20" s="1" t="str">
        <f>_xll.BC($A$20,"CAB")</f>
        <v>#BCONN</v>
      </c>
      <c r="F20" s="1" t="str">
        <f>_xll.BC($A$20,"CNG")</f>
        <v>#BCONN</v>
      </c>
      <c r="G20" s="1" t="str">
        <f>_xll.BC($A$20,"NEG")</f>
        <v>#BCONN</v>
      </c>
    </row>
    <row r="21" spans="1:7" x14ac:dyDescent="0.2">
      <c r="A21" t="s">
        <v>165</v>
      </c>
      <c r="B21" s="8" t="str">
        <f>_xll.BC($A$21,"DAJ")</f>
        <v>#BCONN</v>
      </c>
      <c r="C21" s="1" t="str">
        <f>_xll.BC($A$21,"AJUT")</f>
        <v>#BCONN</v>
      </c>
      <c r="D21" s="1" t="str">
        <f>_xll.BC($A$21,"AJU")</f>
        <v>#BCONN</v>
      </c>
      <c r="E21" s="1" t="str">
        <f>_xll.BC($A$21,"CAB")</f>
        <v>#BCONN</v>
      </c>
      <c r="F21" s="1" t="str">
        <f>_xll.BC($A$21,"CNG")</f>
        <v>#BCONN</v>
      </c>
      <c r="G21" s="1" t="str">
        <f>_xll.BC($A$21,"NEG")</f>
        <v>#BCONN</v>
      </c>
    </row>
    <row r="22" spans="1:7" x14ac:dyDescent="0.2">
      <c r="A22" t="s">
        <v>189</v>
      </c>
      <c r="B22" s="8" t="str">
        <f>_xll.BC($A$22,"DAJ")</f>
        <v>#BCONN</v>
      </c>
      <c r="C22" s="1" t="str">
        <f>_xll.BC($A$22,"AJUT")</f>
        <v>#BCONN</v>
      </c>
      <c r="D22" s="1" t="str">
        <f>_xll.BC($A$22,"AJU")</f>
        <v>#BCONN</v>
      </c>
      <c r="E22" s="1" t="str">
        <f>_xll.BC($A$22,"CAB")</f>
        <v>#BCONN</v>
      </c>
      <c r="F22" s="1" t="str">
        <f>_xll.BC($A$22,"CNG")</f>
        <v>#BCONN</v>
      </c>
      <c r="G22" s="1" t="str">
        <f>_xll.BC($A$22,"NEG")</f>
        <v>#BCONN</v>
      </c>
    </row>
    <row r="23" spans="1:7" x14ac:dyDescent="0.2">
      <c r="A23" t="s">
        <v>190</v>
      </c>
      <c r="B23" s="8" t="str">
        <f>_xll.BC($A$23,"DAJ")</f>
        <v>#BCONN</v>
      </c>
      <c r="C23" s="1" t="str">
        <f>_xll.BC($A$23,"AJUT")</f>
        <v>#BCONN</v>
      </c>
      <c r="D23" s="1" t="str">
        <f>_xll.BC($A$23,"AJU")</f>
        <v>#BCONN</v>
      </c>
      <c r="E23" s="1" t="str">
        <f>_xll.BC($A$23,"CAB")</f>
        <v>#BCONN</v>
      </c>
      <c r="F23" s="1" t="str">
        <f>_xll.BC($A$23,"CNG")</f>
        <v>#BCONN</v>
      </c>
      <c r="G23" s="1" t="str">
        <f>_xll.BC($A$23,"NEG")</f>
        <v>#BCONN</v>
      </c>
    </row>
    <row r="24" spans="1:7" x14ac:dyDescent="0.2">
      <c r="A24" t="s">
        <v>191</v>
      </c>
      <c r="B24" s="8" t="str">
        <f>_xll.BC($A$24,"DAJ")</f>
        <v>#BCONN</v>
      </c>
      <c r="C24" s="1" t="str">
        <f>_xll.BC($A$24,"AJUT")</f>
        <v>#BCONN</v>
      </c>
      <c r="D24" s="1" t="str">
        <f>_xll.BC($A$24,"AJU")</f>
        <v>#BCONN</v>
      </c>
      <c r="E24" s="1" t="str">
        <f>_xll.BC($A$24,"CAB")</f>
        <v>#BCONN</v>
      </c>
      <c r="F24" s="1" t="str">
        <f>_xll.BC($A$24,"CNG")</f>
        <v>#BCONN</v>
      </c>
      <c r="G24" s="1" t="str">
        <f>_xll.BC($A$24,"NEG")</f>
        <v>#BCONN</v>
      </c>
    </row>
    <row r="25" spans="1:7" x14ac:dyDescent="0.2">
      <c r="A25" t="s">
        <v>192</v>
      </c>
      <c r="B25" s="8" t="str">
        <f>_xll.BC($A$25,"DAJ")</f>
        <v>#BCONN</v>
      </c>
      <c r="C25" s="1" t="str">
        <f>_xll.BC($A$25,"AJUT")</f>
        <v>#BCONN</v>
      </c>
      <c r="D25" s="1" t="str">
        <f>_xll.BC($A$25,"AJU")</f>
        <v>#BCONN</v>
      </c>
      <c r="E25" s="1" t="str">
        <f>_xll.BC($A$25,"CAB")</f>
        <v>#BCONN</v>
      </c>
      <c r="F25" s="1" t="str">
        <f>_xll.BC($A$25,"CNG")</f>
        <v>#BCONN</v>
      </c>
      <c r="G25" s="1" t="str">
        <f>_xll.BC($A$25,"NEG")</f>
        <v>#BCONN</v>
      </c>
    </row>
    <row r="26" spans="1:7" x14ac:dyDescent="0.2">
      <c r="A26" t="s">
        <v>193</v>
      </c>
      <c r="B26" s="8" t="str">
        <f>_xll.BC($A$26,"DAJ")</f>
        <v>#BCONN</v>
      </c>
      <c r="C26" s="1" t="str">
        <f>_xll.BC($A$26,"AJUT")</f>
        <v>#BCONN</v>
      </c>
      <c r="D26" s="1" t="str">
        <f>_xll.BC($A$26,"AJU")</f>
        <v>#BCONN</v>
      </c>
      <c r="E26" s="1" t="str">
        <f>_xll.BC($A$26,"CAB")</f>
        <v>#BCONN</v>
      </c>
      <c r="F26" s="1" t="str">
        <f>_xll.BC($A$26,"CNG")</f>
        <v>#BCONN</v>
      </c>
      <c r="G26" s="1" t="str">
        <f>_xll.BC($A$26,"NEG")</f>
        <v>#BCONN</v>
      </c>
    </row>
    <row r="27" spans="1:7" x14ac:dyDescent="0.2">
      <c r="A27" t="s">
        <v>194</v>
      </c>
      <c r="B27" s="8" t="str">
        <f>_xll.BC($A$27,"DAJ")</f>
        <v>#BCONN</v>
      </c>
      <c r="C27" s="1" t="str">
        <f>_xll.BC($A$27,"AJUT")</f>
        <v>#BCONN</v>
      </c>
      <c r="D27" s="1" t="str">
        <f>_xll.BC($A$27,"AJU")</f>
        <v>#BCONN</v>
      </c>
      <c r="E27" s="1" t="str">
        <f>_xll.BC($A$27,"CAB")</f>
        <v>#BCONN</v>
      </c>
      <c r="F27" s="1" t="str">
        <f>_xll.BC($A$27,"CNG")</f>
        <v>#BCONN</v>
      </c>
      <c r="G27" s="1" t="str">
        <f>_xll.BC($A$27,"NEG")</f>
        <v>#BCONN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7B0C-42CA-4B50-95D7-A90BA5D84D31}">
  <sheetPr codeName="Sheet4"/>
  <dimension ref="A1:G39"/>
  <sheetViews>
    <sheetView workbookViewId="0">
      <selection activeCell="B2" sqref="B2"/>
    </sheetView>
  </sheetViews>
  <sheetFormatPr defaultRowHeight="12" x14ac:dyDescent="0.2"/>
  <cols>
    <col min="2" max="2" width="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110</v>
      </c>
    </row>
    <row r="2" spans="1:7" x14ac:dyDescent="0.2">
      <c r="A2" t="s">
        <v>139</v>
      </c>
      <c r="B2" s="8" t="str">
        <f>_xll.BC($A$2,"DAJ")</f>
        <v>#BCONN</v>
      </c>
      <c r="C2" s="1" t="str">
        <f>_xll.BC($A$2,"AJUT")</f>
        <v>#BCONN</v>
      </c>
      <c r="D2" s="1" t="str">
        <f>_xll.BC($A$2,"AJU")</f>
        <v>#BCONN</v>
      </c>
      <c r="E2" s="1" t="str">
        <f>_xll.BC($A$2,"CAB")</f>
        <v>#BCONN</v>
      </c>
      <c r="F2" s="1" t="str">
        <f>_xll.BC($A$2,"CNG")</f>
        <v>#BCONN</v>
      </c>
      <c r="G2" s="1" t="str">
        <f>_xll.BC($A$2,"NEG")</f>
        <v>#BCONN</v>
      </c>
    </row>
    <row r="3" spans="1:7" x14ac:dyDescent="0.2">
      <c r="A3" t="s">
        <v>140</v>
      </c>
      <c r="B3" s="8" t="str">
        <f>_xll.BC($A$3,"DAJ")</f>
        <v>#BCONN</v>
      </c>
      <c r="C3" s="1" t="str">
        <f>_xll.BC($A$3,"AJUT")</f>
        <v>#BCONN</v>
      </c>
      <c r="D3" s="1" t="str">
        <f>_xll.BC($A$3,"AJU")</f>
        <v>#BCONN</v>
      </c>
      <c r="E3" s="1" t="str">
        <f>_xll.BC($A$3,"CAB")</f>
        <v>#BCONN</v>
      </c>
      <c r="F3" s="1" t="str">
        <f>_xll.BC($A$3,"CNG")</f>
        <v>#BCONN</v>
      </c>
      <c r="G3" s="1" t="str">
        <f>_xll.BC($A$3,"NEG")</f>
        <v>#BCONN</v>
      </c>
    </row>
    <row r="4" spans="1:7" x14ac:dyDescent="0.2">
      <c r="A4" t="s">
        <v>48</v>
      </c>
      <c r="B4" s="8" t="str">
        <f>_xll.BC($A$4,"DAJ")</f>
        <v>#BCONN</v>
      </c>
      <c r="C4" s="1" t="str">
        <f>_xll.BC($A$4,"AJUT")</f>
        <v>#BCONN</v>
      </c>
      <c r="D4" s="1" t="str">
        <f>_xll.BC($A$4,"AJU")</f>
        <v>#BCONN</v>
      </c>
      <c r="E4" s="1" t="str">
        <f>_xll.BC($A$4,"CAB")</f>
        <v>#BCONN</v>
      </c>
      <c r="F4" s="1" t="str">
        <f>_xll.BC($A$4,"CNG")</f>
        <v>#BCONN</v>
      </c>
      <c r="G4" s="1" t="str">
        <f>_xll.BC($A$4,"NEG")</f>
        <v>#BCONN</v>
      </c>
    </row>
    <row r="5" spans="1:7" x14ac:dyDescent="0.2">
      <c r="A5" t="s">
        <v>141</v>
      </c>
      <c r="B5" s="8" t="str">
        <f>_xll.BC($A$5,"DAJ")</f>
        <v>#BCONN</v>
      </c>
      <c r="C5" s="1" t="str">
        <f>_xll.BC($A$5,"AJUT")</f>
        <v>#BCONN</v>
      </c>
      <c r="D5" s="1" t="str">
        <f>_xll.BC($A$5,"AJU")</f>
        <v>#BCONN</v>
      </c>
      <c r="E5" s="1" t="str">
        <f>_xll.BC($A$5,"CAB")</f>
        <v>#BCONN</v>
      </c>
      <c r="F5" s="1" t="str">
        <f>_xll.BC($A$5,"CNG")</f>
        <v>#BCONN</v>
      </c>
      <c r="G5" s="1" t="str">
        <f>_xll.BC($A$5,"NEG")</f>
        <v>#BCONN</v>
      </c>
    </row>
    <row r="6" spans="1:7" x14ac:dyDescent="0.2">
      <c r="A6" t="s">
        <v>142</v>
      </c>
      <c r="B6" s="8" t="str">
        <f>_xll.BC($A$6,"DAJ")</f>
        <v>#BCONN</v>
      </c>
      <c r="C6" s="1" t="str">
        <f>_xll.BC($A$6,"AJUT")</f>
        <v>#BCONN</v>
      </c>
      <c r="D6" s="1" t="str">
        <f>_xll.BC($A$6,"AJU")</f>
        <v>#BCONN</v>
      </c>
      <c r="E6" s="1" t="str">
        <f>_xll.BC($A$6,"CAB")</f>
        <v>#BCONN</v>
      </c>
      <c r="F6" s="1" t="str">
        <f>_xll.BC($A$6,"CNG")</f>
        <v>#BCONN</v>
      </c>
      <c r="G6" s="1" t="str">
        <f>_xll.BC($A$6,"NEG")</f>
        <v>#BCONN</v>
      </c>
    </row>
    <row r="7" spans="1:7" x14ac:dyDescent="0.2">
      <c r="A7" t="s">
        <v>49</v>
      </c>
      <c r="B7" s="8" t="str">
        <f>_xll.BC($A$7,"DAJ")</f>
        <v>#BCONN</v>
      </c>
      <c r="C7" s="1" t="str">
        <f>_xll.BC($A$7,"AJUT")</f>
        <v>#BCONN</v>
      </c>
      <c r="D7" s="1" t="str">
        <f>_xll.BC($A$7,"AJU")</f>
        <v>#BCONN</v>
      </c>
      <c r="E7" s="1" t="str">
        <f>_xll.BC($A$7,"CAB")</f>
        <v>#BCONN</v>
      </c>
      <c r="F7" s="1" t="str">
        <f>_xll.BC($A$7,"CNG")</f>
        <v>#BCONN</v>
      </c>
      <c r="G7" s="1" t="str">
        <f>_xll.BC($A$7,"NEG")</f>
        <v>#BCONN</v>
      </c>
    </row>
    <row r="8" spans="1:7" x14ac:dyDescent="0.2">
      <c r="A8" t="s">
        <v>143</v>
      </c>
      <c r="B8" s="8" t="str">
        <f>_xll.BC($A$8,"DAJ")</f>
        <v>#BCONN</v>
      </c>
      <c r="C8" s="1" t="str">
        <f>_xll.BC($A$8,"AJUT")</f>
        <v>#BCONN</v>
      </c>
      <c r="D8" s="1" t="str">
        <f>_xll.BC($A$8,"AJU")</f>
        <v>#BCONN</v>
      </c>
      <c r="E8" s="1" t="str">
        <f>_xll.BC($A$8,"CAB")</f>
        <v>#BCONN</v>
      </c>
      <c r="F8" s="1" t="str">
        <f>_xll.BC($A$8,"CNG")</f>
        <v>#BCONN</v>
      </c>
      <c r="G8" s="1" t="str">
        <f>_xll.BC($A$8,"NEG")</f>
        <v>#BCONN</v>
      </c>
    </row>
    <row r="9" spans="1:7" x14ac:dyDescent="0.2">
      <c r="A9" t="s">
        <v>144</v>
      </c>
      <c r="B9" s="8" t="str">
        <f>_xll.BC($A$9,"DAJ")</f>
        <v>#BCONN</v>
      </c>
      <c r="C9" s="1" t="str">
        <f>_xll.BC($A$9,"AJUT")</f>
        <v>#BCONN</v>
      </c>
      <c r="D9" s="1" t="str">
        <f>_xll.BC($A$9,"AJU")</f>
        <v>#BCONN</v>
      </c>
      <c r="E9" s="1" t="str">
        <f>_xll.BC($A$9,"CAB")</f>
        <v>#BCONN</v>
      </c>
      <c r="F9" s="1" t="str">
        <f>_xll.BC($A$9,"CNG")</f>
        <v>#BCONN</v>
      </c>
      <c r="G9" s="1" t="str">
        <f>_xll.BC($A$9,"NEG")</f>
        <v>#BCONN</v>
      </c>
    </row>
    <row r="10" spans="1:7" x14ac:dyDescent="0.2">
      <c r="A10" t="s">
        <v>50</v>
      </c>
      <c r="B10" s="8" t="str">
        <f>_xll.BC($A$10,"DAJ")</f>
        <v>#BCONN</v>
      </c>
      <c r="C10" s="1" t="str">
        <f>_xll.BC($A$10,"AJUT")</f>
        <v>#BCONN</v>
      </c>
      <c r="D10" s="1" t="str">
        <f>_xll.BC($A$10,"AJU")</f>
        <v>#BCONN</v>
      </c>
      <c r="E10" s="1" t="str">
        <f>_xll.BC($A$10,"CAB")</f>
        <v>#BCONN</v>
      </c>
      <c r="F10" s="1" t="str">
        <f>_xll.BC($A$10,"CNG")</f>
        <v>#BCONN</v>
      </c>
      <c r="G10" s="1" t="str">
        <f>_xll.BC($A$10,"NEG")</f>
        <v>#BCONN</v>
      </c>
    </row>
    <row r="11" spans="1:7" x14ac:dyDescent="0.2">
      <c r="A11" t="s">
        <v>185</v>
      </c>
      <c r="B11" s="8" t="str">
        <f>_xll.BC($A$11,"DAJ")</f>
        <v>#BCONN</v>
      </c>
      <c r="C11" s="1" t="str">
        <f>_xll.BC($A$11,"AJUT")</f>
        <v>#BCONN</v>
      </c>
      <c r="D11" s="1" t="str">
        <f>_xll.BC($A$11,"AJU")</f>
        <v>#BCONN</v>
      </c>
      <c r="E11" s="1" t="str">
        <f>_xll.BC($A$11,"CAB")</f>
        <v>#BCONN</v>
      </c>
      <c r="F11" s="1" t="str">
        <f>_xll.BC($A$11,"CNG")</f>
        <v>#BCONN</v>
      </c>
      <c r="G11" s="1" t="str">
        <f>_xll.BC($A$11,"NEG")</f>
        <v>#BCONN</v>
      </c>
    </row>
    <row r="12" spans="1:7" x14ac:dyDescent="0.2">
      <c r="A12" t="s">
        <v>186</v>
      </c>
      <c r="B12" s="8" t="str">
        <f>_xll.BC($A$12,"DAJ")</f>
        <v>#BCONN</v>
      </c>
      <c r="C12" s="1" t="str">
        <f>_xll.BC($A$12,"AJUT")</f>
        <v>#BCONN</v>
      </c>
      <c r="D12" s="1" t="str">
        <f>_xll.BC($A$12,"AJU")</f>
        <v>#BCONN</v>
      </c>
      <c r="E12" s="1" t="str">
        <f>_xll.BC($A$12,"CAB")</f>
        <v>#BCONN</v>
      </c>
      <c r="F12" s="1" t="str">
        <f>_xll.BC($A$12,"CNG")</f>
        <v>#BCONN</v>
      </c>
      <c r="G12" s="1" t="str">
        <f>_xll.BC($A$12,"NEG")</f>
        <v>#BCONN</v>
      </c>
    </row>
    <row r="13" spans="1:7" x14ac:dyDescent="0.2">
      <c r="A13" t="s">
        <v>51</v>
      </c>
      <c r="B13" s="8" t="str">
        <f>_xll.BC($A$13,"DAJ")</f>
        <v>#BCONN</v>
      </c>
      <c r="C13" s="1" t="str">
        <f>_xll.BC($A$13,"AJUT")</f>
        <v>#BCONN</v>
      </c>
      <c r="D13" s="1" t="str">
        <f>_xll.BC($A$13,"AJU")</f>
        <v>#BCONN</v>
      </c>
      <c r="E13" s="1" t="str">
        <f>_xll.BC($A$13,"CAB")</f>
        <v>#BCONN</v>
      </c>
      <c r="F13" s="1" t="str">
        <f>_xll.BC($A$13,"CNG")</f>
        <v>#BCONN</v>
      </c>
      <c r="G13" s="1" t="str">
        <f>_xll.BC($A$13,"NEG")</f>
        <v>#BCONN</v>
      </c>
    </row>
    <row r="14" spans="1:7" x14ac:dyDescent="0.2">
      <c r="A14" t="s">
        <v>52</v>
      </c>
      <c r="B14" s="8" t="str">
        <f>_xll.BC($A$14,"DAJ")</f>
        <v>#BCONN</v>
      </c>
      <c r="C14" s="1" t="str">
        <f>_xll.BC($A$14,"AJUT")</f>
        <v>#BCONN</v>
      </c>
      <c r="D14" s="1" t="str">
        <f>_xll.BC($A$14,"AJU")</f>
        <v>#BCONN</v>
      </c>
      <c r="E14" s="1" t="str">
        <f>_xll.BC($A$14,"CAB")</f>
        <v>#BCONN</v>
      </c>
      <c r="F14" s="1" t="str">
        <f>_xll.BC($A$14,"CNG")</f>
        <v>#BCONN</v>
      </c>
      <c r="G14" s="1" t="str">
        <f>_xll.BC($A$14,"NEG")</f>
        <v>#BCONN</v>
      </c>
    </row>
    <row r="15" spans="1:7" x14ac:dyDescent="0.2">
      <c r="A15" t="s">
        <v>53</v>
      </c>
      <c r="B15" s="8" t="str">
        <f>_xll.BC($A$15,"DAJ")</f>
        <v>#BCONN</v>
      </c>
      <c r="C15" s="1" t="str">
        <f>_xll.BC($A$15,"AJUT")</f>
        <v>#BCONN</v>
      </c>
      <c r="D15" s="1" t="str">
        <f>_xll.BC($A$15,"AJU")</f>
        <v>#BCONN</v>
      </c>
      <c r="E15" s="1" t="str">
        <f>_xll.BC($A$15,"CAB")</f>
        <v>#BCONN</v>
      </c>
      <c r="F15" s="1" t="str">
        <f>_xll.BC($A$15,"CNG")</f>
        <v>#BCONN</v>
      </c>
      <c r="G15" s="1" t="str">
        <f>_xll.BC($A$15,"NEG")</f>
        <v>#BCONN</v>
      </c>
    </row>
    <row r="16" spans="1:7" x14ac:dyDescent="0.2">
      <c r="A16" t="s">
        <v>54</v>
      </c>
      <c r="B16" s="8" t="str">
        <f>_xll.BC($A$16,"DAJ")</f>
        <v>#BCONN</v>
      </c>
      <c r="C16" s="1" t="str">
        <f>_xll.BC($A$16,"AJUT")</f>
        <v>#BCONN</v>
      </c>
      <c r="D16" s="1" t="str">
        <f>_xll.BC($A$16,"AJU")</f>
        <v>#BCONN</v>
      </c>
      <c r="E16" s="1" t="str">
        <f>_xll.BC($A$16,"CAB")</f>
        <v>#BCONN</v>
      </c>
      <c r="F16" s="1" t="str">
        <f>_xll.BC($A$16,"CNG")</f>
        <v>#BCONN</v>
      </c>
      <c r="G16" s="1" t="str">
        <f>_xll.BC($A$16,"NEG")</f>
        <v>#BCONN</v>
      </c>
    </row>
    <row r="17" spans="1:7" x14ac:dyDescent="0.2">
      <c r="A17" t="s">
        <v>55</v>
      </c>
      <c r="B17" s="8" t="str">
        <f>_xll.BC($A$17,"DAJ")</f>
        <v>#BCONN</v>
      </c>
      <c r="C17" s="1" t="str">
        <f>_xll.BC($A$17,"AJUT")</f>
        <v>#BCONN</v>
      </c>
      <c r="D17" s="1" t="str">
        <f>_xll.BC($A$17,"AJU")</f>
        <v>#BCONN</v>
      </c>
      <c r="E17" s="1" t="str">
        <f>_xll.BC($A$17,"CAB")</f>
        <v>#BCONN</v>
      </c>
      <c r="F17" s="1" t="str">
        <f>_xll.BC($A$17,"CNG")</f>
        <v>#BCONN</v>
      </c>
      <c r="G17" s="1" t="str">
        <f>_xll.BC($A$17,"NEG")</f>
        <v>#BCONN</v>
      </c>
    </row>
    <row r="18" spans="1:7" x14ac:dyDescent="0.2">
      <c r="A18" t="s">
        <v>56</v>
      </c>
      <c r="B18" s="8" t="str">
        <f>_xll.BC($A$18,"DAJ")</f>
        <v>#BCONN</v>
      </c>
      <c r="C18" s="1" t="str">
        <f>_xll.BC($A$18,"AJUT")</f>
        <v>#BCONN</v>
      </c>
      <c r="D18" s="1" t="str">
        <f>_xll.BC($A$18,"AJU")</f>
        <v>#BCONN</v>
      </c>
      <c r="E18" s="1" t="str">
        <f>_xll.BC($A$18,"CAB")</f>
        <v>#BCONN</v>
      </c>
      <c r="F18" s="1" t="str">
        <f>_xll.BC($A$18,"CNG")</f>
        <v>#BCONN</v>
      </c>
      <c r="G18" s="1" t="str">
        <f>_xll.BC($A$18,"NEG")</f>
        <v>#BCONN</v>
      </c>
    </row>
    <row r="19" spans="1:7" x14ac:dyDescent="0.2">
      <c r="A19" t="s">
        <v>57</v>
      </c>
      <c r="B19" s="8" t="str">
        <f>_xll.BC($A$19,"DAJ")</f>
        <v>#BCONN</v>
      </c>
      <c r="C19" s="1" t="str">
        <f>_xll.BC($A$19,"AJUT")</f>
        <v>#BCONN</v>
      </c>
      <c r="D19" s="1" t="str">
        <f>_xll.BC($A$19,"AJU")</f>
        <v>#BCONN</v>
      </c>
      <c r="E19" s="1" t="str">
        <f>_xll.BC($A$19,"CAB")</f>
        <v>#BCONN</v>
      </c>
      <c r="F19" s="1" t="str">
        <f>_xll.BC($A$19,"CNG")</f>
        <v>#BCONN</v>
      </c>
      <c r="G19" s="1" t="str">
        <f>_xll.BC($A$19,"NEG")</f>
        <v>#BCONN</v>
      </c>
    </row>
    <row r="20" spans="1:7" x14ac:dyDescent="0.2">
      <c r="A20" t="s">
        <v>58</v>
      </c>
      <c r="B20" s="8" t="str">
        <f>_xll.BC($A$20,"DAJ")</f>
        <v>#BCONN</v>
      </c>
      <c r="C20" s="1" t="str">
        <f>_xll.BC($A$20,"AJUT")</f>
        <v>#BCONN</v>
      </c>
      <c r="D20" s="1" t="str">
        <f>_xll.BC($A$20,"AJU")</f>
        <v>#BCONN</v>
      </c>
      <c r="E20" s="1" t="str">
        <f>_xll.BC($A$20,"CAB")</f>
        <v>#BCONN</v>
      </c>
      <c r="F20" s="1" t="str">
        <f>_xll.BC($A$20,"CNG")</f>
        <v>#BCONN</v>
      </c>
      <c r="G20" s="1" t="str">
        <f>_xll.BC($A$20,"NEG")</f>
        <v>#BCONN</v>
      </c>
    </row>
    <row r="21" spans="1:7" x14ac:dyDescent="0.2">
      <c r="A21" t="s">
        <v>59</v>
      </c>
      <c r="B21" s="8" t="str">
        <f>_xll.BC($A$21,"DAJ")</f>
        <v>#BCONN</v>
      </c>
      <c r="C21" s="1" t="str">
        <f>_xll.BC($A$21,"AJUT")</f>
        <v>#BCONN</v>
      </c>
      <c r="D21" s="1" t="str">
        <f>_xll.BC($A$21,"AJU")</f>
        <v>#BCONN</v>
      </c>
      <c r="E21" s="1" t="str">
        <f>_xll.BC($A$21,"CAB")</f>
        <v>#BCONN</v>
      </c>
      <c r="F21" s="1" t="str">
        <f>_xll.BC($A$21,"CNG")</f>
        <v>#BCONN</v>
      </c>
      <c r="G21" s="1" t="str">
        <f>_xll.BC($A$21,"NEG")</f>
        <v>#BCONN</v>
      </c>
    </row>
    <row r="22" spans="1:7" x14ac:dyDescent="0.2">
      <c r="A22" t="s">
        <v>60</v>
      </c>
      <c r="B22" s="8" t="str">
        <f>_xll.BC($A$22,"DAJ")</f>
        <v>#BCONN</v>
      </c>
      <c r="C22" s="1" t="str">
        <f>_xll.BC($A$22,"AJUT")</f>
        <v>#BCONN</v>
      </c>
      <c r="D22" s="1" t="str">
        <f>_xll.BC($A$22,"AJU")</f>
        <v>#BCONN</v>
      </c>
      <c r="E22" s="1" t="str">
        <f>_xll.BC($A$22,"CAB")</f>
        <v>#BCONN</v>
      </c>
      <c r="F22" s="1" t="str">
        <f>_xll.BC($A$22,"CNG")</f>
        <v>#BCONN</v>
      </c>
      <c r="G22" s="1" t="str">
        <f>_xll.BC($A$22,"NEG")</f>
        <v>#BCONN</v>
      </c>
    </row>
    <row r="23" spans="1:7" x14ac:dyDescent="0.2">
      <c r="A23" t="s">
        <v>61</v>
      </c>
      <c r="B23" s="8" t="str">
        <f>_xll.BC($A$23,"DAJ")</f>
        <v>#BCONN</v>
      </c>
      <c r="C23" s="1" t="str">
        <f>_xll.BC($A$23,"AJUT")</f>
        <v>#BCONN</v>
      </c>
      <c r="D23" s="1" t="str">
        <f>_xll.BC($A$23,"AJU")</f>
        <v>#BCONN</v>
      </c>
      <c r="E23" s="1" t="str">
        <f>_xll.BC($A$23,"CAB")</f>
        <v>#BCONN</v>
      </c>
      <c r="F23" s="1" t="str">
        <f>_xll.BC($A$23,"CNG")</f>
        <v>#BCONN</v>
      </c>
      <c r="G23" s="1" t="str">
        <f>_xll.BC($A$23,"NEG")</f>
        <v>#BCONN</v>
      </c>
    </row>
    <row r="24" spans="1:7" x14ac:dyDescent="0.2">
      <c r="A24" t="s">
        <v>145</v>
      </c>
      <c r="B24" s="8" t="str">
        <f>_xll.BC($A$24,"DAJ")</f>
        <v>#BCONN</v>
      </c>
      <c r="C24" s="1" t="str">
        <f>_xll.BC($A$24,"AJUT")</f>
        <v>#BCONN</v>
      </c>
      <c r="D24" s="1" t="str">
        <f>_xll.BC($A$24,"AJU")</f>
        <v>#BCONN</v>
      </c>
      <c r="E24" s="1" t="str">
        <f>_xll.BC($A$24,"CAB")</f>
        <v>#BCONN</v>
      </c>
      <c r="F24" s="1" t="str">
        <f>_xll.BC($A$24,"CNG")</f>
        <v>#BCONN</v>
      </c>
      <c r="G24" s="1" t="str">
        <f>_xll.BC($A$24,"NEG")</f>
        <v>#BCONN</v>
      </c>
    </row>
    <row r="25" spans="1:7" x14ac:dyDescent="0.2">
      <c r="A25" t="s">
        <v>62</v>
      </c>
      <c r="B25" s="8" t="str">
        <f>_xll.BC($A$25,"DAJ")</f>
        <v>#BCONN</v>
      </c>
      <c r="C25" s="1" t="str">
        <f>_xll.BC($A$25,"AJUT")</f>
        <v>#BCONN</v>
      </c>
      <c r="D25" s="1" t="str">
        <f>_xll.BC($A$25,"AJU")</f>
        <v>#BCONN</v>
      </c>
      <c r="E25" s="1" t="str">
        <f>_xll.BC($A$25,"CAB")</f>
        <v>#BCONN</v>
      </c>
      <c r="F25" s="1" t="str">
        <f>_xll.BC($A$25,"CNG")</f>
        <v>#BCONN</v>
      </c>
      <c r="G25" s="1" t="str">
        <f>_xll.BC($A$25,"NEG")</f>
        <v>#BCONN</v>
      </c>
    </row>
    <row r="26" spans="1:7" x14ac:dyDescent="0.2">
      <c r="A26" t="s">
        <v>146</v>
      </c>
      <c r="B26" s="8" t="str">
        <f>_xll.BC($A$26,"DAJ")</f>
        <v>#BCONN</v>
      </c>
      <c r="C26" s="1" t="str">
        <f>_xll.BC($A$26,"AJUT")</f>
        <v>#BCONN</v>
      </c>
      <c r="D26" s="1" t="str">
        <f>_xll.BC($A$26,"AJU")</f>
        <v>#BCONN</v>
      </c>
      <c r="E26" s="1" t="str">
        <f>_xll.BC($A$26,"CAB")</f>
        <v>#BCONN</v>
      </c>
      <c r="F26" s="1" t="str">
        <f>_xll.BC($A$26,"CNG")</f>
        <v>#BCONN</v>
      </c>
      <c r="G26" s="1" t="str">
        <f>_xll.BC($A$26,"NEG")</f>
        <v>#BCONN</v>
      </c>
    </row>
    <row r="27" spans="1:7" x14ac:dyDescent="0.2">
      <c r="A27" t="s">
        <v>63</v>
      </c>
      <c r="B27" s="8" t="str">
        <f>_xll.BC($A$27,"DAJ")</f>
        <v>#BCONN</v>
      </c>
      <c r="C27" s="1" t="str">
        <f>_xll.BC($A$27,"AJUT")</f>
        <v>#BCONN</v>
      </c>
      <c r="D27" s="1" t="str">
        <f>_xll.BC($A$27,"AJU")</f>
        <v>#BCONN</v>
      </c>
      <c r="E27" s="1" t="str">
        <f>_xll.BC($A$27,"CAB")</f>
        <v>#BCONN</v>
      </c>
      <c r="F27" s="1" t="str">
        <f>_xll.BC($A$27,"CNG")</f>
        <v>#BCONN</v>
      </c>
      <c r="G27" s="1" t="str">
        <f>_xll.BC($A$27,"NEG")</f>
        <v>#BCONN</v>
      </c>
    </row>
    <row r="28" spans="1:7" x14ac:dyDescent="0.2">
      <c r="A28" t="s">
        <v>187</v>
      </c>
      <c r="B28" s="8" t="str">
        <f>_xll.BC($A$28,"DAJ")</f>
        <v>#BCONN</v>
      </c>
      <c r="C28" s="1" t="str">
        <f>_xll.BC($A$28,"AJUT")</f>
        <v>#BCONN</v>
      </c>
      <c r="D28" s="1" t="str">
        <f>_xll.BC($A$28,"AJU")</f>
        <v>#BCONN</v>
      </c>
      <c r="E28" s="1" t="str">
        <f>_xll.BC($A$28,"CAB")</f>
        <v>#BCONN</v>
      </c>
      <c r="F28" s="1" t="str">
        <f>_xll.BC($A$28,"CNG")</f>
        <v>#BCONN</v>
      </c>
      <c r="G28" s="1" t="str">
        <f>_xll.BC($A$28,"NEG")</f>
        <v>#BCONN</v>
      </c>
    </row>
    <row r="29" spans="1:7" x14ac:dyDescent="0.2">
      <c r="A29" t="s">
        <v>203</v>
      </c>
      <c r="B29" s="8" t="str">
        <f>_xll.BC($A$29,"DAJ")</f>
        <v>#BCONN</v>
      </c>
      <c r="C29" s="1" t="str">
        <f>_xll.BC($A$29,"AJUT")</f>
        <v>#BCONN</v>
      </c>
      <c r="D29" s="1" t="str">
        <f>_xll.BC($A$29,"AJU")</f>
        <v>#BCONN</v>
      </c>
      <c r="E29" s="1" t="str">
        <f>_xll.BC($A$29,"CAB")</f>
        <v>#BCONN</v>
      </c>
      <c r="F29" s="1" t="str">
        <f>_xll.BC($A$29,"CNG")</f>
        <v>#BCONN</v>
      </c>
      <c r="G29" s="1" t="str">
        <f>_xll.BC($A$29,"NEG")</f>
        <v>#BCONN</v>
      </c>
    </row>
    <row r="30" spans="1:7" x14ac:dyDescent="0.2">
      <c r="A30" t="s">
        <v>64</v>
      </c>
      <c r="B30" s="8" t="str">
        <f>_xll.BC($A$30,"DAJ")</f>
        <v>#BCONN</v>
      </c>
      <c r="C30" s="1" t="str">
        <f>_xll.BC($A$30,"AJUT")</f>
        <v>#BCONN</v>
      </c>
      <c r="D30" s="1" t="str">
        <f>_xll.BC($A$30,"AJU")</f>
        <v>#BCONN</v>
      </c>
      <c r="E30" s="1" t="str">
        <f>_xll.BC($A$30,"CAB")</f>
        <v>#BCONN</v>
      </c>
      <c r="F30" s="1" t="str">
        <f>_xll.BC($A$30,"CNG")</f>
        <v>#BCONN</v>
      </c>
      <c r="G30" s="1" t="str">
        <f>_xll.BC($A$30,"NEG")</f>
        <v>#BCONN</v>
      </c>
    </row>
    <row r="31" spans="1:7" x14ac:dyDescent="0.2">
      <c r="A31" t="s">
        <v>65</v>
      </c>
      <c r="B31" s="8" t="str">
        <f>_xll.BC($A$31,"DAJ")</f>
        <v>#BCONN</v>
      </c>
      <c r="C31" s="1" t="str">
        <f>_xll.BC($A$31,"AJUT")</f>
        <v>#BCONN</v>
      </c>
      <c r="D31" s="1" t="str">
        <f>_xll.BC($A$31,"AJU")</f>
        <v>#BCONN</v>
      </c>
      <c r="E31" s="1" t="str">
        <f>_xll.BC($A$31,"CAB")</f>
        <v>#BCONN</v>
      </c>
      <c r="F31" s="1" t="str">
        <f>_xll.BC($A$31,"CNG")</f>
        <v>#BCONN</v>
      </c>
      <c r="G31" s="1" t="str">
        <f>_xll.BC($A$31,"NEG")</f>
        <v>#BCONN</v>
      </c>
    </row>
    <row r="32" spans="1:7" x14ac:dyDescent="0.2">
      <c r="A32" t="s">
        <v>66</v>
      </c>
      <c r="B32" s="8" t="str">
        <f>_xll.BC($A$32,"DAJ")</f>
        <v>#BCONN</v>
      </c>
      <c r="C32" s="1" t="str">
        <f>_xll.BC($A$32,"AJUT")</f>
        <v>#BCONN</v>
      </c>
      <c r="D32" s="1" t="str">
        <f>_xll.BC($A$32,"AJU")</f>
        <v>#BCONN</v>
      </c>
      <c r="E32" s="1" t="str">
        <f>_xll.BC($A$32,"CAB")</f>
        <v>#BCONN</v>
      </c>
      <c r="F32" s="1" t="str">
        <f>_xll.BC($A$32,"CNG")</f>
        <v>#BCONN</v>
      </c>
      <c r="G32" s="1" t="str">
        <f>_xll.BC($A$32,"NEG")</f>
        <v>#BCONN</v>
      </c>
    </row>
    <row r="33" spans="1:7" x14ac:dyDescent="0.2">
      <c r="A33" t="s">
        <v>67</v>
      </c>
      <c r="B33" s="8" t="str">
        <f>_xll.BC($A$33,"DAJ")</f>
        <v>#BCONN</v>
      </c>
      <c r="C33" s="1" t="str">
        <f>_xll.BC($A$33,"AJUT")</f>
        <v>#BCONN</v>
      </c>
      <c r="D33" s="1" t="str">
        <f>_xll.BC($A$33,"AJU")</f>
        <v>#BCONN</v>
      </c>
      <c r="E33" s="1" t="str">
        <f>_xll.BC($A$33,"CAB")</f>
        <v>#BCONN</v>
      </c>
      <c r="F33" s="1" t="str">
        <f>_xll.BC($A$33,"CNG")</f>
        <v>#BCONN</v>
      </c>
      <c r="G33" s="1" t="str">
        <f>_xll.BC($A$33,"NEG")</f>
        <v>#BCONN</v>
      </c>
    </row>
    <row r="34" spans="1:7" x14ac:dyDescent="0.2">
      <c r="A34" t="s">
        <v>147</v>
      </c>
      <c r="B34" s="8" t="str">
        <f>_xll.BC($A$34,"DAJ")</f>
        <v>#BCONN</v>
      </c>
      <c r="C34" s="1" t="str">
        <f>_xll.BC($A$34,"AJUT")</f>
        <v>#BCONN</v>
      </c>
      <c r="D34" s="1" t="str">
        <f>_xll.BC($A$34,"AJU")</f>
        <v>#BCONN</v>
      </c>
      <c r="E34" s="1" t="str">
        <f>_xll.BC($A$34,"CAB")</f>
        <v>#BCONN</v>
      </c>
      <c r="F34" s="1" t="str">
        <f>_xll.BC($A$34,"CNG")</f>
        <v>#BCONN</v>
      </c>
      <c r="G34" s="1" t="str">
        <f>_xll.BC($A$34,"NEG")</f>
        <v>#BCONN</v>
      </c>
    </row>
    <row r="35" spans="1:7" x14ac:dyDescent="0.2">
      <c r="A35" t="s">
        <v>68</v>
      </c>
      <c r="B35" s="8" t="str">
        <f>_xll.BC($A$35,"DAJ")</f>
        <v>#BCONN</v>
      </c>
      <c r="C35" s="1" t="str">
        <f>_xll.BC($A$35,"AJUT")</f>
        <v>#BCONN</v>
      </c>
      <c r="D35" s="1" t="str">
        <f>_xll.BC($A$35,"AJU")</f>
        <v>#BCONN</v>
      </c>
      <c r="E35" s="1" t="str">
        <f>_xll.BC($A$35,"CAB")</f>
        <v>#BCONN</v>
      </c>
      <c r="F35" s="1" t="str">
        <f>_xll.BC($A$35,"CNG")</f>
        <v>#BCONN</v>
      </c>
      <c r="G35" s="1" t="str">
        <f>_xll.BC($A$35,"NEG")</f>
        <v>#BCONN</v>
      </c>
    </row>
    <row r="36" spans="1:7" x14ac:dyDescent="0.2">
      <c r="A36" t="s">
        <v>148</v>
      </c>
      <c r="B36" s="8" t="str">
        <f>_xll.BC($A$36,"DAJ")</f>
        <v>#BCONN</v>
      </c>
      <c r="C36" s="1" t="str">
        <f>_xll.BC($A$36,"AJUT")</f>
        <v>#BCONN</v>
      </c>
      <c r="D36" s="1" t="str">
        <f>_xll.BC($A$36,"AJU")</f>
        <v>#BCONN</v>
      </c>
      <c r="E36" s="1" t="str">
        <f>_xll.BC($A$36,"CAB")</f>
        <v>#BCONN</v>
      </c>
      <c r="F36" s="1" t="str">
        <f>_xll.BC($A$36,"CNG")</f>
        <v>#BCONN</v>
      </c>
      <c r="G36" s="1" t="str">
        <f>_xll.BC($A$36,"NEG")</f>
        <v>#BCONN</v>
      </c>
    </row>
    <row r="37" spans="1:7" x14ac:dyDescent="0.2">
      <c r="A37" t="s">
        <v>69</v>
      </c>
      <c r="B37" s="8" t="str">
        <f>_xll.BC($A$37,"DAJ")</f>
        <v>#BCONN</v>
      </c>
      <c r="C37" s="1" t="str">
        <f>_xll.BC($A$37,"AJUT")</f>
        <v>#BCONN</v>
      </c>
      <c r="D37" s="1" t="str">
        <f>_xll.BC($A$37,"AJU")</f>
        <v>#BCONN</v>
      </c>
      <c r="E37" s="1" t="str">
        <f>_xll.BC($A$37,"CAB")</f>
        <v>#BCONN</v>
      </c>
      <c r="F37" s="1" t="str">
        <f>_xll.BC($A$37,"CNG")</f>
        <v>#BCONN</v>
      </c>
      <c r="G37" s="1" t="str">
        <f>_xll.BC($A$37,"NEG")</f>
        <v>#BCONN</v>
      </c>
    </row>
    <row r="38" spans="1:7" x14ac:dyDescent="0.2">
      <c r="A38" t="s">
        <v>105</v>
      </c>
      <c r="B38" s="8" t="str">
        <f>_xll.BC($A$38,"DAJ")</f>
        <v>#BCONN</v>
      </c>
      <c r="C38" s="1" t="str">
        <f>_xll.BC($A$38,"AJUT")</f>
        <v>#BCONN</v>
      </c>
      <c r="D38" s="1" t="str">
        <f>_xll.BC($A$38,"AJU")</f>
        <v>#BCONN</v>
      </c>
      <c r="E38" s="1" t="str">
        <f>_xll.BC($A$38,"CAB")</f>
        <v>#BCONN</v>
      </c>
      <c r="F38" s="1" t="str">
        <f>_xll.BC($A$38,"CNG")</f>
        <v>#BCONN</v>
      </c>
      <c r="G38" s="1" t="str">
        <f>_xll.BC($A$38,"NEG")</f>
        <v>#BCONN</v>
      </c>
    </row>
    <row r="39" spans="1:7" x14ac:dyDescent="0.2">
      <c r="A39" t="s">
        <v>149</v>
      </c>
      <c r="B39" s="8" t="str">
        <f>_xll.BC($A$39,"DAJ")</f>
        <v>#BCONN</v>
      </c>
      <c r="C39" s="1" t="str">
        <f>_xll.BC($A$39,"AJUT")</f>
        <v>#BCONN</v>
      </c>
      <c r="D39" s="1" t="str">
        <f>_xll.BC($A$39,"AJU")</f>
        <v>#BCONN</v>
      </c>
      <c r="E39" s="1" t="str">
        <f>_xll.BC($A$39,"CAB")</f>
        <v>#BCONN</v>
      </c>
      <c r="F39" s="1" t="str">
        <f>_xll.BC($A$39,"CNG")</f>
        <v>#BCONN</v>
      </c>
      <c r="G39" s="1" t="str">
        <f>_xll.BC($A$39,"NEG")</f>
        <v>#BCONN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1F02-4598-40F5-B86A-8DB4561F3CBE}">
  <sheetPr codeName="Sheet5"/>
  <dimension ref="A1:G39"/>
  <sheetViews>
    <sheetView workbookViewId="0">
      <selection activeCell="F33" sqref="F33"/>
    </sheetView>
  </sheetViews>
  <sheetFormatPr defaultRowHeight="12" x14ac:dyDescent="0.2"/>
  <cols>
    <col min="2" max="2" width="10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110</v>
      </c>
    </row>
    <row r="2" spans="1:7" x14ac:dyDescent="0.2">
      <c r="A2" t="s">
        <v>204</v>
      </c>
      <c r="B2" s="8" t="str">
        <f>_xll.BC($A$2,"DAJ")</f>
        <v>#BCONN</v>
      </c>
      <c r="C2" s="1" t="str">
        <f>_xll.BC($A$2,"AJUT")</f>
        <v>#BCONN</v>
      </c>
      <c r="D2" s="1" t="str">
        <f>_xll.BC($A$2,"AJU")</f>
        <v>#BCONN</v>
      </c>
      <c r="E2" s="1" t="str">
        <f>_xll.BC($A$2,"CAB")</f>
        <v>#BCONN</v>
      </c>
      <c r="F2" s="1" t="str">
        <f>_xll.BC($A$2,"CNG")</f>
        <v>#BCONN</v>
      </c>
      <c r="G2" s="1" t="str">
        <f>_xll.BC($A$2,"NEG")</f>
        <v>#BCONN</v>
      </c>
    </row>
    <row r="3" spans="1:7" x14ac:dyDescent="0.2">
      <c r="A3" t="s">
        <v>129</v>
      </c>
      <c r="B3" s="8" t="str">
        <f>_xll.BC($A$3,"DAJ")</f>
        <v>#BCONN</v>
      </c>
      <c r="C3" s="1" t="str">
        <f>_xll.BC($A$3,"AJUT")</f>
        <v>#BCONN</v>
      </c>
      <c r="D3" s="1" t="str">
        <f>_xll.BC($A$3,"AJU")</f>
        <v>#BCONN</v>
      </c>
      <c r="E3" s="1" t="str">
        <f>_xll.BC($A$3,"CAB")</f>
        <v>#BCONN</v>
      </c>
      <c r="F3" s="1" t="str">
        <f>_xll.BC($A$3,"CNG")</f>
        <v>#BCONN</v>
      </c>
      <c r="G3" s="1" t="str">
        <f>_xll.BC($A$3,"NEG")</f>
        <v>#BCONN</v>
      </c>
    </row>
    <row r="4" spans="1:7" x14ac:dyDescent="0.2">
      <c r="A4" t="s">
        <v>26</v>
      </c>
      <c r="B4" s="8" t="str">
        <f>_xll.BC($A$4,"DAJ")</f>
        <v>#BCONN</v>
      </c>
      <c r="C4" s="1" t="str">
        <f>_xll.BC($A$4,"AJUT")</f>
        <v>#BCONN</v>
      </c>
      <c r="D4" s="1" t="str">
        <f>_xll.BC($A$4,"AJU")</f>
        <v>#BCONN</v>
      </c>
      <c r="E4" s="1" t="str">
        <f>_xll.BC($A$4,"CAB")</f>
        <v>#BCONN</v>
      </c>
      <c r="F4" s="1" t="str">
        <f>_xll.BC($A$4,"CNG")</f>
        <v>#BCONN</v>
      </c>
      <c r="G4" s="1" t="str">
        <f>_xll.BC($A$4,"NEG")</f>
        <v>#BCONN</v>
      </c>
    </row>
    <row r="5" spans="1:7" x14ac:dyDescent="0.2">
      <c r="A5" t="s">
        <v>130</v>
      </c>
      <c r="B5" s="8" t="str">
        <f>_xll.BC($A$5,"DAJ")</f>
        <v>#BCONN</v>
      </c>
      <c r="C5" s="1" t="str">
        <f>_xll.BC($A$5,"AJUT")</f>
        <v>#BCONN</v>
      </c>
      <c r="D5" s="1" t="str">
        <f>_xll.BC($A$5,"AJU")</f>
        <v>#BCONN</v>
      </c>
      <c r="E5" s="1" t="str">
        <f>_xll.BC($A$5,"CAB")</f>
        <v>#BCONN</v>
      </c>
      <c r="F5" s="1" t="str">
        <f>_xll.BC($A$5,"CNG")</f>
        <v>#BCONN</v>
      </c>
      <c r="G5" s="1" t="str">
        <f>_xll.BC($A$5,"NEG")</f>
        <v>#BCONN</v>
      </c>
    </row>
    <row r="6" spans="1:7" x14ac:dyDescent="0.2">
      <c r="A6" t="s">
        <v>131</v>
      </c>
      <c r="B6" s="8" t="str">
        <f>_xll.BC($A$6,"DAJ")</f>
        <v>#BCONN</v>
      </c>
      <c r="C6" s="1" t="str">
        <f>_xll.BC($A$6,"AJUT")</f>
        <v>#BCONN</v>
      </c>
      <c r="D6" s="1" t="str">
        <f>_xll.BC($A$6,"AJU")</f>
        <v>#BCONN</v>
      </c>
      <c r="E6" s="1" t="str">
        <f>_xll.BC($A$6,"CAB")</f>
        <v>#BCONN</v>
      </c>
      <c r="F6" s="1" t="str">
        <f>_xll.BC($A$6,"CNG")</f>
        <v>#BCONN</v>
      </c>
      <c r="G6" s="1" t="str">
        <f>_xll.BC($A$6,"NEG")</f>
        <v>#BCONN</v>
      </c>
    </row>
    <row r="7" spans="1:7" x14ac:dyDescent="0.2">
      <c r="A7" t="s">
        <v>27</v>
      </c>
      <c r="B7" s="8" t="str">
        <f>_xll.BC($A$7,"DAJ")</f>
        <v>#BCONN</v>
      </c>
      <c r="C7" s="1" t="str">
        <f>_xll.BC($A$7,"AJUT")</f>
        <v>#BCONN</v>
      </c>
      <c r="D7" s="1" t="str">
        <f>_xll.BC($A$7,"AJU")</f>
        <v>#BCONN</v>
      </c>
      <c r="E7" s="1" t="str">
        <f>_xll.BC($A$7,"CAB")</f>
        <v>#BCONN</v>
      </c>
      <c r="F7" s="1" t="str">
        <f>_xll.BC($A$7,"CNG")</f>
        <v>#BCONN</v>
      </c>
      <c r="G7" s="1" t="str">
        <f>_xll.BC($A$7,"NEG")</f>
        <v>#BCONN</v>
      </c>
    </row>
    <row r="8" spans="1:7" x14ac:dyDescent="0.2">
      <c r="A8" t="s">
        <v>132</v>
      </c>
      <c r="B8" s="8" t="str">
        <f>_xll.BC($A$8,"DAJ")</f>
        <v>#BCONN</v>
      </c>
      <c r="C8" s="1" t="str">
        <f>_xll.BC($A$8,"AJUT")</f>
        <v>#BCONN</v>
      </c>
      <c r="D8" s="1" t="str">
        <f>_xll.BC($A$8,"AJU")</f>
        <v>#BCONN</v>
      </c>
      <c r="E8" s="1" t="str">
        <f>_xll.BC($A$8,"CAB")</f>
        <v>#BCONN</v>
      </c>
      <c r="F8" s="1" t="str">
        <f>_xll.BC($A$8,"CNG")</f>
        <v>#BCONN</v>
      </c>
      <c r="G8" s="1" t="str">
        <f>_xll.BC($A$8,"NEG")</f>
        <v>#BCONN</v>
      </c>
    </row>
    <row r="9" spans="1:7" x14ac:dyDescent="0.2">
      <c r="A9" t="s">
        <v>133</v>
      </c>
      <c r="B9" s="8" t="str">
        <f>_xll.BC($A$9,"DAJ")</f>
        <v>#BCONN</v>
      </c>
      <c r="C9" s="1" t="str">
        <f>_xll.BC($A$9,"AJUT")</f>
        <v>#BCONN</v>
      </c>
      <c r="D9" s="1" t="str">
        <f>_xll.BC($A$9,"AJU")</f>
        <v>#BCONN</v>
      </c>
      <c r="E9" s="1" t="str">
        <f>_xll.BC($A$9,"CAB")</f>
        <v>#BCONN</v>
      </c>
      <c r="F9" s="1" t="str">
        <f>_xll.BC($A$9,"CNG")</f>
        <v>#BCONN</v>
      </c>
      <c r="G9" s="1" t="str">
        <f>_xll.BC($A$9,"NEG")</f>
        <v>#BCONN</v>
      </c>
    </row>
    <row r="10" spans="1:7" x14ac:dyDescent="0.2">
      <c r="A10" t="s">
        <v>28</v>
      </c>
      <c r="B10" s="8" t="str">
        <f>_xll.BC($A$10,"DAJ")</f>
        <v>#BCONN</v>
      </c>
      <c r="C10" s="1" t="str">
        <f>_xll.BC($A$10,"AJUT")</f>
        <v>#BCONN</v>
      </c>
      <c r="D10" s="1" t="str">
        <f>_xll.BC($A$10,"AJU")</f>
        <v>#BCONN</v>
      </c>
      <c r="E10" s="1" t="str">
        <f>_xll.BC($A$10,"CAB")</f>
        <v>#BCONN</v>
      </c>
      <c r="F10" s="1" t="str">
        <f>_xll.BC($A$10,"CNG")</f>
        <v>#BCONN</v>
      </c>
      <c r="G10" s="1" t="str">
        <f>_xll.BC($A$10,"NEG")</f>
        <v>#BCONN</v>
      </c>
    </row>
    <row r="11" spans="1:7" x14ac:dyDescent="0.2">
      <c r="A11" t="s">
        <v>182</v>
      </c>
      <c r="B11" s="8" t="str">
        <f>_xll.BC($A$11,"DAJ")</f>
        <v>#BCONN</v>
      </c>
      <c r="C11" s="1" t="str">
        <f>_xll.BC($A$11,"AJUT")</f>
        <v>#BCONN</v>
      </c>
      <c r="D11" s="1" t="str">
        <f>_xll.BC($A$11,"AJU")</f>
        <v>#BCONN</v>
      </c>
      <c r="E11" s="1" t="str">
        <f>_xll.BC($A$11,"CAB")</f>
        <v>#BCONN</v>
      </c>
      <c r="F11" s="1" t="str">
        <f>_xll.BC($A$11,"CNG")</f>
        <v>#BCONN</v>
      </c>
      <c r="G11" s="1" t="str">
        <f>_xll.BC($A$11,"NEG")</f>
        <v>#BCONN</v>
      </c>
    </row>
    <row r="12" spans="1:7" x14ac:dyDescent="0.2">
      <c r="A12" t="s">
        <v>183</v>
      </c>
      <c r="B12" s="8" t="str">
        <f>_xll.BC($A$12,"DAJ")</f>
        <v>#BCONN</v>
      </c>
      <c r="C12" s="1" t="str">
        <f>_xll.BC($A$12,"AJUT")</f>
        <v>#BCONN</v>
      </c>
      <c r="D12" s="1" t="str">
        <f>_xll.BC($A$12,"AJU")</f>
        <v>#BCONN</v>
      </c>
      <c r="E12" s="1" t="str">
        <f>_xll.BC($A$12,"CAB")</f>
        <v>#BCONN</v>
      </c>
      <c r="F12" s="1" t="str">
        <f>_xll.BC($A$12,"CNG")</f>
        <v>#BCONN</v>
      </c>
      <c r="G12" s="1" t="str">
        <f>_xll.BC($A$12,"NEG")</f>
        <v>#BCONN</v>
      </c>
    </row>
    <row r="13" spans="1:7" x14ac:dyDescent="0.2">
      <c r="A13" t="s">
        <v>29</v>
      </c>
      <c r="B13" s="8" t="str">
        <f>_xll.BC($A$13,"DAJ")</f>
        <v>#BCONN</v>
      </c>
      <c r="C13" s="1" t="str">
        <f>_xll.BC($A$13,"AJUT")</f>
        <v>#BCONN</v>
      </c>
      <c r="D13" s="1" t="str">
        <f>_xll.BC($A$13,"AJU")</f>
        <v>#BCONN</v>
      </c>
      <c r="E13" s="1" t="str">
        <f>_xll.BC($A$13,"CAB")</f>
        <v>#BCONN</v>
      </c>
      <c r="F13" s="1" t="str">
        <f>_xll.BC($A$13,"CNG")</f>
        <v>#BCONN</v>
      </c>
      <c r="G13" s="1" t="str">
        <f>_xll.BC($A$13,"NEG")</f>
        <v>#BCONN</v>
      </c>
    </row>
    <row r="14" spans="1:7" x14ac:dyDescent="0.2">
      <c r="A14" t="s">
        <v>30</v>
      </c>
      <c r="B14" s="8" t="str">
        <f>_xll.BC($A$14,"DAJ")</f>
        <v>#BCONN</v>
      </c>
      <c r="C14" s="1" t="str">
        <f>_xll.BC($A$14,"AJUT")</f>
        <v>#BCONN</v>
      </c>
      <c r="D14" s="1" t="str">
        <f>_xll.BC($A$14,"AJU")</f>
        <v>#BCONN</v>
      </c>
      <c r="E14" s="1" t="str">
        <f>_xll.BC($A$14,"CAB")</f>
        <v>#BCONN</v>
      </c>
      <c r="F14" s="1" t="str">
        <f>_xll.BC($A$14,"CNG")</f>
        <v>#BCONN</v>
      </c>
      <c r="G14" s="1" t="str">
        <f>_xll.BC($A$14,"NEG")</f>
        <v>#BCONN</v>
      </c>
    </row>
    <row r="15" spans="1:7" x14ac:dyDescent="0.2">
      <c r="A15" t="s">
        <v>31</v>
      </c>
      <c r="B15" s="8" t="str">
        <f>_xll.BC($A$15,"DAJ")</f>
        <v>#BCONN</v>
      </c>
      <c r="C15" s="1" t="str">
        <f>_xll.BC($A$15,"AJUT")</f>
        <v>#BCONN</v>
      </c>
      <c r="D15" s="1" t="str">
        <f>_xll.BC($A$15,"AJU")</f>
        <v>#BCONN</v>
      </c>
      <c r="E15" s="1" t="str">
        <f>_xll.BC($A$15,"CAB")</f>
        <v>#BCONN</v>
      </c>
      <c r="F15" s="1" t="str">
        <f>_xll.BC($A$15,"CNG")</f>
        <v>#BCONN</v>
      </c>
      <c r="G15" s="1" t="str">
        <f>_xll.BC($A$15,"NEG")</f>
        <v>#BCONN</v>
      </c>
    </row>
    <row r="16" spans="1:7" x14ac:dyDescent="0.2">
      <c r="A16" t="s">
        <v>32</v>
      </c>
      <c r="B16" s="8" t="str">
        <f>_xll.BC($A$16,"DAJ")</f>
        <v>#BCONN</v>
      </c>
      <c r="C16" s="1" t="str">
        <f>_xll.BC($A$16,"AJUT")</f>
        <v>#BCONN</v>
      </c>
      <c r="D16" s="1" t="str">
        <f>_xll.BC($A$16,"AJU")</f>
        <v>#BCONN</v>
      </c>
      <c r="E16" s="1" t="str">
        <f>_xll.BC($A$16,"CAB")</f>
        <v>#BCONN</v>
      </c>
      <c r="F16" s="1" t="str">
        <f>_xll.BC($A$16,"CNG")</f>
        <v>#BCONN</v>
      </c>
      <c r="G16" s="1" t="str">
        <f>_xll.BC($A$16,"NEG")</f>
        <v>#BCONN</v>
      </c>
    </row>
    <row r="17" spans="1:7" x14ac:dyDescent="0.2">
      <c r="A17" t="s">
        <v>33</v>
      </c>
      <c r="B17" s="8" t="str">
        <f>_xll.BC($A$17,"DAJ")</f>
        <v>#BCONN</v>
      </c>
      <c r="C17" s="1" t="str">
        <f>_xll.BC($A$17,"AJUT")</f>
        <v>#BCONN</v>
      </c>
      <c r="D17" s="1" t="str">
        <f>_xll.BC($A$17,"AJU")</f>
        <v>#BCONN</v>
      </c>
      <c r="E17" s="1" t="str">
        <f>_xll.BC($A$17,"CAB")</f>
        <v>#BCONN</v>
      </c>
      <c r="F17" s="1" t="str">
        <f>_xll.BC($A$17,"CNG")</f>
        <v>#BCONN</v>
      </c>
      <c r="G17" s="1" t="str">
        <f>_xll.BC($A$17,"NEG")</f>
        <v>#BCONN</v>
      </c>
    </row>
    <row r="18" spans="1:7" x14ac:dyDescent="0.2">
      <c r="A18" t="s">
        <v>34</v>
      </c>
      <c r="B18" s="8" t="str">
        <f>_xll.BC($A$18,"DAJ")</f>
        <v>#BCONN</v>
      </c>
      <c r="C18" s="1" t="str">
        <f>_xll.BC($A$18,"AJUT")</f>
        <v>#BCONN</v>
      </c>
      <c r="D18" s="1" t="str">
        <f>_xll.BC($A$18,"AJU")</f>
        <v>#BCONN</v>
      </c>
      <c r="E18" s="1" t="str">
        <f>_xll.BC($A$18,"CAB")</f>
        <v>#BCONN</v>
      </c>
      <c r="F18" s="1" t="str">
        <f>_xll.BC($A$18,"CNG")</f>
        <v>#BCONN</v>
      </c>
      <c r="G18" s="1" t="str">
        <f>_xll.BC($A$18,"NEG")</f>
        <v>#BCONN</v>
      </c>
    </row>
    <row r="19" spans="1:7" x14ac:dyDescent="0.2">
      <c r="A19" t="s">
        <v>35</v>
      </c>
      <c r="B19" s="8" t="str">
        <f>_xll.BC($A$19,"DAJ")</f>
        <v>#BCONN</v>
      </c>
      <c r="C19" s="1" t="str">
        <f>_xll.BC($A$19,"AJUT")</f>
        <v>#BCONN</v>
      </c>
      <c r="D19" s="1" t="str">
        <f>_xll.BC($A$19,"AJU")</f>
        <v>#BCONN</v>
      </c>
      <c r="E19" s="1" t="str">
        <f>_xll.BC($A$19,"CAB")</f>
        <v>#BCONN</v>
      </c>
      <c r="F19" s="1" t="str">
        <f>_xll.BC($A$19,"CNG")</f>
        <v>#BCONN</v>
      </c>
      <c r="G19" s="1" t="str">
        <f>_xll.BC($A$19,"NEG")</f>
        <v>#BCONN</v>
      </c>
    </row>
    <row r="20" spans="1:7" x14ac:dyDescent="0.2">
      <c r="A20" t="s">
        <v>36</v>
      </c>
      <c r="B20" s="8" t="str">
        <f>_xll.BC($A$20,"DAJ")</f>
        <v>#BCONN</v>
      </c>
      <c r="C20" s="1" t="str">
        <f>_xll.BC($A$20,"AJUT")</f>
        <v>#BCONN</v>
      </c>
      <c r="D20" s="1" t="str">
        <f>_xll.BC($A$20,"AJU")</f>
        <v>#BCONN</v>
      </c>
      <c r="E20" s="1" t="str">
        <f>_xll.BC($A$20,"CAB")</f>
        <v>#BCONN</v>
      </c>
      <c r="F20" s="1" t="str">
        <f>_xll.BC($A$20,"CNG")</f>
        <v>#BCONN</v>
      </c>
      <c r="G20" s="1" t="str">
        <f>_xll.BC($A$20,"NEG")</f>
        <v>#BCONN</v>
      </c>
    </row>
    <row r="21" spans="1:7" x14ac:dyDescent="0.2">
      <c r="A21" t="s">
        <v>37</v>
      </c>
      <c r="B21" s="8" t="str">
        <f>_xll.BC($A$21,"DAJ")</f>
        <v>#BCONN</v>
      </c>
      <c r="C21" s="1" t="str">
        <f>_xll.BC($A$21,"AJUT")</f>
        <v>#BCONN</v>
      </c>
      <c r="D21" s="1" t="str">
        <f>_xll.BC($A$21,"AJU")</f>
        <v>#BCONN</v>
      </c>
      <c r="E21" s="1" t="str">
        <f>_xll.BC($A$21,"CAB")</f>
        <v>#BCONN</v>
      </c>
      <c r="F21" s="1" t="str">
        <f>_xll.BC($A$21,"CNG")</f>
        <v>#BCONN</v>
      </c>
      <c r="G21" s="1" t="str">
        <f>_xll.BC($A$21,"NEG")</f>
        <v>#BCONN</v>
      </c>
    </row>
    <row r="22" spans="1:7" x14ac:dyDescent="0.2">
      <c r="A22" t="s">
        <v>38</v>
      </c>
      <c r="B22" s="8" t="str">
        <f>_xll.BC($A$22,"DAJ")</f>
        <v>#BCONN</v>
      </c>
      <c r="C22" s="1" t="str">
        <f>_xll.BC($A$22,"AJUT")</f>
        <v>#BCONN</v>
      </c>
      <c r="D22" s="1" t="str">
        <f>_xll.BC($A$22,"AJU")</f>
        <v>#BCONN</v>
      </c>
      <c r="E22" s="1" t="str">
        <f>_xll.BC($A$22,"CAB")</f>
        <v>#BCONN</v>
      </c>
      <c r="F22" s="1" t="str">
        <f>_xll.BC($A$22,"CNG")</f>
        <v>#BCONN</v>
      </c>
      <c r="G22" s="1" t="str">
        <f>_xll.BC($A$22,"NEG")</f>
        <v>#BCONN</v>
      </c>
    </row>
    <row r="23" spans="1:7" x14ac:dyDescent="0.2">
      <c r="A23" t="s">
        <v>39</v>
      </c>
      <c r="B23" s="8" t="str">
        <f>_xll.BC($A$23,"DAJ")</f>
        <v>#BCONN</v>
      </c>
      <c r="C23" s="1" t="str">
        <f>_xll.BC($A$23,"AJUT")</f>
        <v>#BCONN</v>
      </c>
      <c r="D23" s="1" t="str">
        <f>_xll.BC($A$23,"AJU")</f>
        <v>#BCONN</v>
      </c>
      <c r="E23" s="1" t="str">
        <f>_xll.BC($A$23,"CAB")</f>
        <v>#BCONN</v>
      </c>
      <c r="F23" s="1" t="str">
        <f>_xll.BC($A$23,"CNG")</f>
        <v>#BCONN</v>
      </c>
      <c r="G23" s="1" t="str">
        <f>_xll.BC($A$23,"NEG")</f>
        <v>#BCONN</v>
      </c>
    </row>
    <row r="24" spans="1:7" x14ac:dyDescent="0.2">
      <c r="A24" t="s">
        <v>134</v>
      </c>
      <c r="B24" s="8" t="str">
        <f>_xll.BC($A$24,"DAJ")</f>
        <v>#BCONN</v>
      </c>
      <c r="C24" s="1" t="str">
        <f>_xll.BC($A$24,"AJUT")</f>
        <v>#BCONN</v>
      </c>
      <c r="D24" s="1" t="str">
        <f>_xll.BC($A$24,"AJU")</f>
        <v>#BCONN</v>
      </c>
      <c r="E24" s="1" t="str">
        <f>_xll.BC($A$24,"CAB")</f>
        <v>#BCONN</v>
      </c>
      <c r="F24" s="1" t="str">
        <f>_xll.BC($A$24,"CNG")</f>
        <v>#BCONN</v>
      </c>
      <c r="G24" s="1" t="str">
        <f>_xll.BC($A$24,"NEG")</f>
        <v>#BCONN</v>
      </c>
    </row>
    <row r="25" spans="1:7" x14ac:dyDescent="0.2">
      <c r="A25" t="s">
        <v>40</v>
      </c>
      <c r="B25" s="8" t="str">
        <f>_xll.BC($A$25,"DAJ")</f>
        <v>#BCONN</v>
      </c>
      <c r="C25" s="1" t="str">
        <f>_xll.BC($A$25,"AJUT")</f>
        <v>#BCONN</v>
      </c>
      <c r="D25" s="1" t="str">
        <f>_xll.BC($A$25,"AJU")</f>
        <v>#BCONN</v>
      </c>
      <c r="E25" s="1" t="str">
        <f>_xll.BC($A$25,"CAB")</f>
        <v>#BCONN</v>
      </c>
      <c r="F25" s="1" t="str">
        <f>_xll.BC($A$25,"CNG")</f>
        <v>#BCONN</v>
      </c>
      <c r="G25" s="1" t="str">
        <f>_xll.BC($A$25,"NEG")</f>
        <v>#BCONN</v>
      </c>
    </row>
    <row r="26" spans="1:7" x14ac:dyDescent="0.2">
      <c r="A26" t="s">
        <v>135</v>
      </c>
      <c r="B26" s="8" t="str">
        <f>_xll.BC($A$26,"DAJ")</f>
        <v>#BCONN</v>
      </c>
      <c r="C26" s="1" t="str">
        <f>_xll.BC($A$26,"AJUT")</f>
        <v>#BCONN</v>
      </c>
      <c r="D26" s="1" t="str">
        <f>_xll.BC($A$26,"AJU")</f>
        <v>#BCONN</v>
      </c>
      <c r="E26" s="1" t="str">
        <f>_xll.BC($A$26,"CAB")</f>
        <v>#BCONN</v>
      </c>
      <c r="F26" s="1" t="str">
        <f>_xll.BC($A$26,"CNG")</f>
        <v>#BCONN</v>
      </c>
      <c r="G26" s="1" t="str">
        <f>_xll.BC($A$26,"NEG")</f>
        <v>#BCONN</v>
      </c>
    </row>
    <row r="27" spans="1:7" x14ac:dyDescent="0.2">
      <c r="A27" t="s">
        <v>41</v>
      </c>
      <c r="B27" s="8" t="str">
        <f>_xll.BC($A$27,"DAJ")</f>
        <v>#BCONN</v>
      </c>
      <c r="C27" s="1" t="str">
        <f>_xll.BC($A$27,"AJUT")</f>
        <v>#BCONN</v>
      </c>
      <c r="D27" s="1" t="str">
        <f>_xll.BC($A$27,"AJU")</f>
        <v>#BCONN</v>
      </c>
      <c r="E27" s="1" t="str">
        <f>_xll.BC($A$27,"CAB")</f>
        <v>#BCONN</v>
      </c>
      <c r="F27" s="1" t="str">
        <f>_xll.BC($A$27,"CNG")</f>
        <v>#BCONN</v>
      </c>
      <c r="G27" s="1" t="str">
        <f>_xll.BC($A$27,"NEG")</f>
        <v>#BCONN</v>
      </c>
    </row>
    <row r="28" spans="1:7" x14ac:dyDescent="0.2">
      <c r="A28" t="s">
        <v>184</v>
      </c>
      <c r="B28" s="8" t="str">
        <f>_xll.BC($A$28,"DAJ")</f>
        <v>#BCONN</v>
      </c>
      <c r="C28" s="1" t="str">
        <f>_xll.BC($A$28,"AJUT")</f>
        <v>#BCONN</v>
      </c>
      <c r="D28" s="1" t="str">
        <f>_xll.BC($A$28,"AJU")</f>
        <v>#BCONN</v>
      </c>
      <c r="E28" s="1" t="str">
        <f>_xll.BC($A$28,"CAB")</f>
        <v>#BCONN</v>
      </c>
      <c r="F28" s="1" t="str">
        <f>_xll.BC($A$28,"CNG")</f>
        <v>#BCONN</v>
      </c>
      <c r="G28" s="1" t="str">
        <f>_xll.BC($A$28,"NEG")</f>
        <v>#BCONN</v>
      </c>
    </row>
    <row r="29" spans="1:7" x14ac:dyDescent="0.2">
      <c r="A29" t="s">
        <v>202</v>
      </c>
      <c r="B29" s="8" t="str">
        <f>_xll.BC($A$29,"DAJ")</f>
        <v>#BCONN</v>
      </c>
      <c r="C29" s="1" t="str">
        <f>_xll.BC($A$29,"AJUT")</f>
        <v>#BCONN</v>
      </c>
      <c r="D29" s="1" t="str">
        <f>_xll.BC($A$29,"AJU")</f>
        <v>#BCONN</v>
      </c>
      <c r="E29" s="1" t="str">
        <f>_xll.BC($A$29,"CAB")</f>
        <v>#BCONN</v>
      </c>
      <c r="F29" s="1" t="str">
        <f>_xll.BC($A$29,"CNG")</f>
        <v>#BCONN</v>
      </c>
      <c r="G29" s="1" t="str">
        <f>_xll.BC($A$29,"NEG")</f>
        <v>#BCONN</v>
      </c>
    </row>
    <row r="30" spans="1:7" x14ac:dyDescent="0.2">
      <c r="A30" t="s">
        <v>42</v>
      </c>
      <c r="B30" s="8" t="str">
        <f>_xll.BC($A$30,"DAJ")</f>
        <v>#BCONN</v>
      </c>
      <c r="C30" s="1" t="str">
        <f>_xll.BC($A$30,"AJUT")</f>
        <v>#BCONN</v>
      </c>
      <c r="D30" s="1" t="str">
        <f>_xll.BC($A$30,"AJU")</f>
        <v>#BCONN</v>
      </c>
      <c r="E30" s="1" t="str">
        <f>_xll.BC($A$30,"CAB")</f>
        <v>#BCONN</v>
      </c>
      <c r="F30" s="1" t="str">
        <f>_xll.BC($A$30,"CNG")</f>
        <v>#BCONN</v>
      </c>
      <c r="G30" s="1" t="str">
        <f>_xll.BC($A$30,"NEG")</f>
        <v>#BCONN</v>
      </c>
    </row>
    <row r="31" spans="1:7" x14ac:dyDescent="0.2">
      <c r="A31" t="s">
        <v>43</v>
      </c>
      <c r="B31" s="8" t="str">
        <f>_xll.BC($A$31,"DAJ")</f>
        <v>#BCONN</v>
      </c>
      <c r="C31" s="1" t="str">
        <f>_xll.BC($A$31,"AJUT")</f>
        <v>#BCONN</v>
      </c>
      <c r="D31" s="1" t="str">
        <f>_xll.BC($A$31,"AJU")</f>
        <v>#BCONN</v>
      </c>
      <c r="E31" s="1" t="str">
        <f>_xll.BC($A$31,"CAB")</f>
        <v>#BCONN</v>
      </c>
      <c r="F31" s="1" t="str">
        <f>_xll.BC($A$31,"CNG")</f>
        <v>#BCONN</v>
      </c>
      <c r="G31" s="1" t="str">
        <f>_xll.BC($A$31,"NEG")</f>
        <v>#BCONN</v>
      </c>
    </row>
    <row r="32" spans="1:7" x14ac:dyDescent="0.2">
      <c r="A32" t="s">
        <v>44</v>
      </c>
      <c r="B32" s="8" t="str">
        <f>_xll.BC($A$32,"DAJ")</f>
        <v>#BCONN</v>
      </c>
      <c r="C32" s="1" t="str">
        <f>_xll.BC($A$32,"AJUT")</f>
        <v>#BCONN</v>
      </c>
      <c r="D32" s="1" t="str">
        <f>_xll.BC($A$32,"AJU")</f>
        <v>#BCONN</v>
      </c>
      <c r="E32" s="1" t="str">
        <f>_xll.BC($A$32,"CAB")</f>
        <v>#BCONN</v>
      </c>
      <c r="F32" s="1" t="str">
        <f>_xll.BC($A$32,"CNG")</f>
        <v>#BCONN</v>
      </c>
      <c r="G32" s="1" t="str">
        <f>_xll.BC($A$32,"NEG")</f>
        <v>#BCONN</v>
      </c>
    </row>
    <row r="33" spans="1:7" x14ac:dyDescent="0.2">
      <c r="A33" t="s">
        <v>45</v>
      </c>
      <c r="B33" s="8" t="str">
        <f>_xll.BC($A$33,"DAJ")</f>
        <v>#BCONN</v>
      </c>
      <c r="C33" s="1" t="str">
        <f>_xll.BC($A$33,"AJUT")</f>
        <v>#BCONN</v>
      </c>
      <c r="D33" s="1" t="str">
        <f>_xll.BC($A$33,"AJU")</f>
        <v>#BCONN</v>
      </c>
      <c r="E33" s="1" t="str">
        <f>_xll.BC($A$33,"CAB")</f>
        <v>#BCONN</v>
      </c>
      <c r="F33" s="1" t="str">
        <f>_xll.BC($A$33,"CNG")</f>
        <v>#BCONN</v>
      </c>
      <c r="G33" s="1" t="str">
        <f>_xll.BC($A$33,"NEG")</f>
        <v>#BCONN</v>
      </c>
    </row>
    <row r="34" spans="1:7" x14ac:dyDescent="0.2">
      <c r="A34" t="s">
        <v>136</v>
      </c>
      <c r="B34" s="8" t="str">
        <f>_xll.BC($A$34,"DAJ")</f>
        <v>#BCONN</v>
      </c>
      <c r="C34" s="1" t="str">
        <f>_xll.BC($A$34,"AJUT")</f>
        <v>#BCONN</v>
      </c>
      <c r="D34" s="1" t="str">
        <f>_xll.BC($A$34,"AJU")</f>
        <v>#BCONN</v>
      </c>
      <c r="E34" s="1" t="str">
        <f>_xll.BC($A$34,"CAB")</f>
        <v>#BCONN</v>
      </c>
      <c r="F34" s="1" t="str">
        <f>_xll.BC($A$34,"CNG")</f>
        <v>#BCONN</v>
      </c>
      <c r="G34" s="1" t="str">
        <f>_xll.BC($A$34,"NEG")</f>
        <v>#BCONN</v>
      </c>
    </row>
    <row r="35" spans="1:7" x14ac:dyDescent="0.2">
      <c r="A35" t="s">
        <v>46</v>
      </c>
      <c r="B35" s="8" t="str">
        <f>_xll.BC($A$35,"DAJ")</f>
        <v>#BCONN</v>
      </c>
      <c r="C35" s="1" t="str">
        <f>_xll.BC($A$35,"AJUT")</f>
        <v>#BCONN</v>
      </c>
      <c r="D35" s="1" t="str">
        <f>_xll.BC($A$35,"AJU")</f>
        <v>#BCONN</v>
      </c>
      <c r="E35" s="1" t="str">
        <f>_xll.BC($A$35,"CAB")</f>
        <v>#BCONN</v>
      </c>
      <c r="F35" s="1" t="str">
        <f>_xll.BC($A$35,"CNG")</f>
        <v>#BCONN</v>
      </c>
      <c r="G35" s="1" t="str">
        <f>_xll.BC($A$35,"NEG")</f>
        <v>#BCONN</v>
      </c>
    </row>
    <row r="36" spans="1:7" x14ac:dyDescent="0.2">
      <c r="A36" t="s">
        <v>137</v>
      </c>
      <c r="B36" s="8" t="str">
        <f>_xll.BC($A$36,"DAJ")</f>
        <v>#BCONN</v>
      </c>
      <c r="C36" s="1" t="str">
        <f>_xll.BC($A$36,"AJUT")</f>
        <v>#BCONN</v>
      </c>
      <c r="D36" s="1" t="str">
        <f>_xll.BC($A$36,"AJU")</f>
        <v>#BCONN</v>
      </c>
      <c r="E36" s="1" t="str">
        <f>_xll.BC($A$36,"CAB")</f>
        <v>#BCONN</v>
      </c>
      <c r="F36" s="1" t="str">
        <f>_xll.BC($A$36,"CNG")</f>
        <v>#BCONN</v>
      </c>
      <c r="G36" s="1" t="str">
        <f>_xll.BC($A$36,"NEG")</f>
        <v>#BCONN</v>
      </c>
    </row>
    <row r="37" spans="1:7" x14ac:dyDescent="0.2">
      <c r="A37" t="s">
        <v>47</v>
      </c>
      <c r="B37" s="8" t="str">
        <f>_xll.BC($A$37,"DAJ")</f>
        <v>#BCONN</v>
      </c>
      <c r="C37" s="1" t="str">
        <f>_xll.BC($A$37,"AJUT")</f>
        <v>#BCONN</v>
      </c>
      <c r="D37" s="1" t="str">
        <f>_xll.BC($A$37,"AJU")</f>
        <v>#BCONN</v>
      </c>
      <c r="E37" s="1" t="str">
        <f>_xll.BC($A$37,"CAB")</f>
        <v>#BCONN</v>
      </c>
      <c r="F37" s="1" t="str">
        <f>_xll.BC($A$37,"CNG")</f>
        <v>#BCONN</v>
      </c>
      <c r="G37" s="1" t="str">
        <f>_xll.BC($A$37,"NEG")</f>
        <v>#BCONN</v>
      </c>
    </row>
    <row r="38" spans="1:7" x14ac:dyDescent="0.2">
      <c r="A38" t="s">
        <v>104</v>
      </c>
      <c r="B38" s="8" t="str">
        <f>_xll.BC($A$38,"DAJ")</f>
        <v>#BCONN</v>
      </c>
      <c r="C38" s="1" t="str">
        <f>_xll.BC($A$38,"AJUT")</f>
        <v>#BCONN</v>
      </c>
      <c r="D38" s="1" t="str">
        <f>_xll.BC($A$38,"AJU")</f>
        <v>#BCONN</v>
      </c>
      <c r="E38" s="1" t="str">
        <f>_xll.BC($A$38,"CAB")</f>
        <v>#BCONN</v>
      </c>
      <c r="F38" s="1" t="str">
        <f>_xll.BC($A$38,"CNG")</f>
        <v>#BCONN</v>
      </c>
      <c r="G38" s="1" t="str">
        <f>_xll.BC($A$38,"NEG")</f>
        <v>#BCONN</v>
      </c>
    </row>
    <row r="39" spans="1:7" x14ac:dyDescent="0.2">
      <c r="A39" t="s">
        <v>138</v>
      </c>
      <c r="B39" s="8" t="str">
        <f>_xll.BC($A$39,"DAJ")</f>
        <v>#BCONN</v>
      </c>
      <c r="C39" s="1" t="str">
        <f>_xll.BC($A$39,"AJUT")</f>
        <v>#BCONN</v>
      </c>
      <c r="D39" s="1" t="str">
        <f>_xll.BC($A$39,"AJU")</f>
        <v>#BCONN</v>
      </c>
      <c r="E39" s="1" t="str">
        <f>_xll.BC($A$39,"CAB")</f>
        <v>#BCONN</v>
      </c>
      <c r="F39" s="1" t="str">
        <f>_xll.BC($A$39,"CNG")</f>
        <v>#BCONN</v>
      </c>
      <c r="G39" s="1" t="str">
        <f>_xll.BC($A$39,"NEG")</f>
        <v>#BCONN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E658-E9C7-4B3F-A71A-2452CB27EC02}">
  <sheetPr codeName="Sheet6"/>
  <dimension ref="A1:G39"/>
  <sheetViews>
    <sheetView workbookViewId="0">
      <selection activeCell="E2" sqref="E2"/>
    </sheetView>
  </sheetViews>
  <sheetFormatPr defaultRowHeight="12" x14ac:dyDescent="0.2"/>
  <cols>
    <col min="2" max="2" width="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110</v>
      </c>
    </row>
    <row r="2" spans="1:7" x14ac:dyDescent="0.2">
      <c r="A2" t="s">
        <v>118</v>
      </c>
      <c r="B2" s="8" t="str">
        <f>_xll.BC($A$2,"DAJ")</f>
        <v>#BCONN</v>
      </c>
      <c r="C2" s="1" t="str">
        <f>_xll.BC($A$2,"AJUT")</f>
        <v>#BCONN</v>
      </c>
      <c r="D2" s="1" t="str">
        <f>_xll.BC($A$2,"AJU")</f>
        <v>#BCONN</v>
      </c>
      <c r="E2" s="1" t="str">
        <f>_xll.BC($A$2,"CAB")</f>
        <v>#BCONN</v>
      </c>
      <c r="F2" s="1" t="str">
        <f>_xll.BC($A$2,"CNG")</f>
        <v>#BCONN</v>
      </c>
      <c r="G2" s="1" t="str">
        <f>_xll.BC($A$2,"NEG")</f>
        <v>#BCONN</v>
      </c>
    </row>
    <row r="3" spans="1:7" x14ac:dyDescent="0.2">
      <c r="A3" t="s">
        <v>119</v>
      </c>
      <c r="B3" s="8" t="str">
        <f>_xll.BC($A$3,"DAJ")</f>
        <v>#BCONN</v>
      </c>
      <c r="C3" s="1" t="str">
        <f>_xll.BC($A$3,"AJUT")</f>
        <v>#BCONN</v>
      </c>
      <c r="D3" s="1" t="str">
        <f>_xll.BC($A$3,"AJU")</f>
        <v>#BCONN</v>
      </c>
      <c r="E3" s="1" t="str">
        <f>_xll.BC($A$3,"CAB")</f>
        <v>#BCONN</v>
      </c>
      <c r="F3" s="1" t="str">
        <f>_xll.BC($A$3,"CNG")</f>
        <v>#BCONN</v>
      </c>
      <c r="G3" s="1" t="str">
        <f>_xll.BC($A$3,"NEG")</f>
        <v>#BCONN</v>
      </c>
    </row>
    <row r="4" spans="1:7" x14ac:dyDescent="0.2">
      <c r="A4" t="s">
        <v>4</v>
      </c>
      <c r="B4" s="8" t="str">
        <f>_xll.BC($A$4,"DAJ")</f>
        <v>#BCONN</v>
      </c>
      <c r="C4" s="1" t="str">
        <f>_xll.BC($A$4,"AJUT")</f>
        <v>#BCONN</v>
      </c>
      <c r="D4" s="1" t="str">
        <f>_xll.BC($A$4,"AJU")</f>
        <v>#BCONN</v>
      </c>
      <c r="E4" s="1" t="str">
        <f>_xll.BC($A$4,"CAB")</f>
        <v>#BCONN</v>
      </c>
      <c r="F4" s="1" t="str">
        <f>_xll.BC($A$4,"CNG")</f>
        <v>#BCONN</v>
      </c>
      <c r="G4" s="1" t="str">
        <f>_xll.BC($A$4,"NEG")</f>
        <v>#BCONN</v>
      </c>
    </row>
    <row r="5" spans="1:7" x14ac:dyDescent="0.2">
      <c r="A5" t="s">
        <v>120</v>
      </c>
      <c r="B5" s="8" t="str">
        <f>_xll.BC($A$5,"DAJ")</f>
        <v>#BCONN</v>
      </c>
      <c r="C5" s="1" t="str">
        <f>_xll.BC($A$5,"AJUT")</f>
        <v>#BCONN</v>
      </c>
      <c r="D5" s="1" t="str">
        <f>_xll.BC($A$5,"AJU")</f>
        <v>#BCONN</v>
      </c>
      <c r="E5" s="1" t="str">
        <f>_xll.BC($A$5,"CAB")</f>
        <v>#BCONN</v>
      </c>
      <c r="F5" s="1" t="str">
        <f>_xll.BC($A$5,"CNG")</f>
        <v>#BCONN</v>
      </c>
      <c r="G5" s="1" t="str">
        <f>_xll.BC($A$5,"NEG")</f>
        <v>#BCONN</v>
      </c>
    </row>
    <row r="6" spans="1:7" x14ac:dyDescent="0.2">
      <c r="A6" t="s">
        <v>121</v>
      </c>
      <c r="B6" s="8" t="str">
        <f>_xll.BC($A$6,"DAJ")</f>
        <v>#BCONN</v>
      </c>
      <c r="C6" s="1" t="str">
        <f>_xll.BC($A$6,"AJUT")</f>
        <v>#BCONN</v>
      </c>
      <c r="D6" s="1" t="str">
        <f>_xll.BC($A$6,"AJU")</f>
        <v>#BCONN</v>
      </c>
      <c r="E6" s="1" t="str">
        <f>_xll.BC($A$6,"CAB")</f>
        <v>#BCONN</v>
      </c>
      <c r="F6" s="1" t="str">
        <f>_xll.BC($A$6,"CNG")</f>
        <v>#BCONN</v>
      </c>
      <c r="G6" s="1" t="str">
        <f>_xll.BC($A$6,"NEG")</f>
        <v>#BCONN</v>
      </c>
    </row>
    <row r="7" spans="1:7" x14ac:dyDescent="0.2">
      <c r="A7" t="s">
        <v>5</v>
      </c>
      <c r="B7" s="8" t="str">
        <f>_xll.BC($A$7,"DAJ")</f>
        <v>#BCONN</v>
      </c>
      <c r="C7" s="1" t="str">
        <f>_xll.BC($A$7,"AJUT")</f>
        <v>#BCONN</v>
      </c>
      <c r="D7" s="1" t="str">
        <f>_xll.BC($A$7,"AJU")</f>
        <v>#BCONN</v>
      </c>
      <c r="E7" s="1" t="str">
        <f>_xll.BC($A$7,"CAB")</f>
        <v>#BCONN</v>
      </c>
      <c r="F7" s="1" t="str">
        <f>_xll.BC($A$7,"CNG")</f>
        <v>#BCONN</v>
      </c>
      <c r="G7" s="1" t="str">
        <f>_xll.BC($A$7,"NEG")</f>
        <v>#BCONN</v>
      </c>
    </row>
    <row r="8" spans="1:7" x14ac:dyDescent="0.2">
      <c r="A8" t="s">
        <v>122</v>
      </c>
      <c r="B8" s="8" t="str">
        <f>_xll.BC($A$8,"DAJ")</f>
        <v>#BCONN</v>
      </c>
      <c r="C8" s="1" t="str">
        <f>_xll.BC($A$8,"AJUT")</f>
        <v>#BCONN</v>
      </c>
      <c r="D8" s="1" t="str">
        <f>_xll.BC($A$8,"AJU")</f>
        <v>#BCONN</v>
      </c>
      <c r="E8" s="1" t="str">
        <f>_xll.BC($A$8,"CAB")</f>
        <v>#BCONN</v>
      </c>
      <c r="F8" s="1" t="str">
        <f>_xll.BC($A$8,"CNG")</f>
        <v>#BCONN</v>
      </c>
      <c r="G8" s="1" t="str">
        <f>_xll.BC($A$8,"NEG")</f>
        <v>#BCONN</v>
      </c>
    </row>
    <row r="9" spans="1:7" x14ac:dyDescent="0.2">
      <c r="A9" t="s">
        <v>123</v>
      </c>
      <c r="B9" s="8" t="str">
        <f>_xll.BC($A$9,"DAJ")</f>
        <v>#BCONN</v>
      </c>
      <c r="C9" s="1" t="str">
        <f>_xll.BC($A$9,"AJUT")</f>
        <v>#BCONN</v>
      </c>
      <c r="D9" s="1" t="str">
        <f>_xll.BC($A$9,"AJU")</f>
        <v>#BCONN</v>
      </c>
      <c r="E9" s="1" t="str">
        <f>_xll.BC($A$9,"CAB")</f>
        <v>#BCONN</v>
      </c>
      <c r="F9" s="1" t="str">
        <f>_xll.BC($A$9,"CNG")</f>
        <v>#BCONN</v>
      </c>
      <c r="G9" s="1" t="str">
        <f>_xll.BC($A$9,"NEG")</f>
        <v>#BCONN</v>
      </c>
    </row>
    <row r="10" spans="1:7" x14ac:dyDescent="0.2">
      <c r="A10" t="s">
        <v>6</v>
      </c>
      <c r="B10" s="8" t="str">
        <f>_xll.BC($A$10,"DAJ")</f>
        <v>#BCONN</v>
      </c>
      <c r="C10" s="1" t="str">
        <f>_xll.BC($A$10,"AJUT")</f>
        <v>#BCONN</v>
      </c>
      <c r="D10" s="1" t="str">
        <f>_xll.BC($A$10,"AJU")</f>
        <v>#BCONN</v>
      </c>
      <c r="E10" s="1" t="str">
        <f>_xll.BC($A$10,"CAB")</f>
        <v>#BCONN</v>
      </c>
      <c r="F10" s="1" t="str">
        <f>_xll.BC($A$10,"CNG")</f>
        <v>#BCONN</v>
      </c>
      <c r="G10" s="1" t="str">
        <f>_xll.BC($A$10,"NEG")</f>
        <v>#BCONN</v>
      </c>
    </row>
    <row r="11" spans="1:7" x14ac:dyDescent="0.2">
      <c r="A11" t="s">
        <v>179</v>
      </c>
      <c r="B11" s="8" t="str">
        <f>_xll.BC($A$11,"DAJ")</f>
        <v>#BCONN</v>
      </c>
      <c r="C11" s="1" t="str">
        <f>_xll.BC($A$11,"AJUT")</f>
        <v>#BCONN</v>
      </c>
      <c r="D11" s="1" t="str">
        <f>_xll.BC($A$11,"AJU")</f>
        <v>#BCONN</v>
      </c>
      <c r="E11" s="1" t="str">
        <f>_xll.BC($A$11,"CAB")</f>
        <v>#BCONN</v>
      </c>
      <c r="F11" s="1" t="str">
        <f>_xll.BC($A$11,"CNG")</f>
        <v>#BCONN</v>
      </c>
      <c r="G11" s="1" t="str">
        <f>_xll.BC($A$11,"NEG")</f>
        <v>#BCONN</v>
      </c>
    </row>
    <row r="12" spans="1:7" x14ac:dyDescent="0.2">
      <c r="A12" t="s">
        <v>180</v>
      </c>
      <c r="B12" s="8" t="str">
        <f>_xll.BC($A$12,"DAJ")</f>
        <v>#BCONN</v>
      </c>
      <c r="C12" s="1" t="str">
        <f>_xll.BC($A$12,"AJUT")</f>
        <v>#BCONN</v>
      </c>
      <c r="D12" s="1" t="str">
        <f>_xll.BC($A$12,"AJU")</f>
        <v>#BCONN</v>
      </c>
      <c r="E12" s="1" t="str">
        <f>_xll.BC($A$12,"CAB")</f>
        <v>#BCONN</v>
      </c>
      <c r="F12" s="1" t="str">
        <f>_xll.BC($A$12,"CNG")</f>
        <v>#BCONN</v>
      </c>
      <c r="G12" s="1" t="str">
        <f>_xll.BC($A$12,"NEG")</f>
        <v>#BCONN</v>
      </c>
    </row>
    <row r="13" spans="1:7" x14ac:dyDescent="0.2">
      <c r="A13" t="s">
        <v>7</v>
      </c>
      <c r="B13" s="8" t="str">
        <f>_xll.BC($A$13,"DAJ")</f>
        <v>#BCONN</v>
      </c>
      <c r="C13" s="1" t="str">
        <f>_xll.BC($A$13,"AJUT")</f>
        <v>#BCONN</v>
      </c>
      <c r="D13" s="1" t="str">
        <f>_xll.BC($A$13,"AJU")</f>
        <v>#BCONN</v>
      </c>
      <c r="E13" s="1" t="str">
        <f>_xll.BC($A$13,"CAB")</f>
        <v>#BCONN</v>
      </c>
      <c r="F13" s="1" t="str">
        <f>_xll.BC($A$13,"CNG")</f>
        <v>#BCONN</v>
      </c>
      <c r="G13" s="1" t="str">
        <f>_xll.BC($A$13,"NEG")</f>
        <v>#BCONN</v>
      </c>
    </row>
    <row r="14" spans="1:7" x14ac:dyDescent="0.2">
      <c r="A14" t="s">
        <v>8</v>
      </c>
      <c r="B14" s="8" t="str">
        <f>_xll.BC($A$14,"DAJ")</f>
        <v>#BCONN</v>
      </c>
      <c r="C14" s="1" t="str">
        <f>_xll.BC($A$14,"AJUT")</f>
        <v>#BCONN</v>
      </c>
      <c r="D14" s="1" t="str">
        <f>_xll.BC($A$14,"AJU")</f>
        <v>#BCONN</v>
      </c>
      <c r="E14" s="1" t="str">
        <f>_xll.BC($A$14,"CAB")</f>
        <v>#BCONN</v>
      </c>
      <c r="F14" s="1" t="str">
        <f>_xll.BC($A$14,"CNG")</f>
        <v>#BCONN</v>
      </c>
      <c r="G14" s="1" t="str">
        <f>_xll.BC($A$14,"NEG")</f>
        <v>#BCONN</v>
      </c>
    </row>
    <row r="15" spans="1:7" x14ac:dyDescent="0.2">
      <c r="A15" t="s">
        <v>9</v>
      </c>
      <c r="B15" s="8" t="str">
        <f>_xll.BC($A$15,"DAJ")</f>
        <v>#BCONN</v>
      </c>
      <c r="C15" s="1" t="str">
        <f>_xll.BC($A$15,"AJUT")</f>
        <v>#BCONN</v>
      </c>
      <c r="D15" s="1" t="str">
        <f>_xll.BC($A$15,"AJU")</f>
        <v>#BCONN</v>
      </c>
      <c r="E15" s="1" t="str">
        <f>_xll.BC($A$15,"CAB")</f>
        <v>#BCONN</v>
      </c>
      <c r="F15" s="1" t="str">
        <f>_xll.BC($A$15,"CNG")</f>
        <v>#BCONN</v>
      </c>
      <c r="G15" s="1" t="str">
        <f>_xll.BC($A$15,"NEG")</f>
        <v>#BCONN</v>
      </c>
    </row>
    <row r="16" spans="1:7" x14ac:dyDescent="0.2">
      <c r="A16" t="s">
        <v>10</v>
      </c>
      <c r="B16" s="8" t="str">
        <f>_xll.BC($A$16,"DAJ")</f>
        <v>#BCONN</v>
      </c>
      <c r="C16" s="1" t="str">
        <f>_xll.BC($A$16,"AJUT")</f>
        <v>#BCONN</v>
      </c>
      <c r="D16" s="1" t="str">
        <f>_xll.BC($A$16,"AJU")</f>
        <v>#BCONN</v>
      </c>
      <c r="E16" s="1" t="str">
        <f>_xll.BC($A$16,"CAB")</f>
        <v>#BCONN</v>
      </c>
      <c r="F16" s="1" t="str">
        <f>_xll.BC($A$16,"CNG")</f>
        <v>#BCONN</v>
      </c>
      <c r="G16" s="1" t="str">
        <f>_xll.BC($A$16,"NEG")</f>
        <v>#BCONN</v>
      </c>
    </row>
    <row r="17" spans="1:7" x14ac:dyDescent="0.2">
      <c r="A17" t="s">
        <v>11</v>
      </c>
      <c r="B17" s="8" t="str">
        <f>_xll.BC($A$17,"DAJ")</f>
        <v>#BCONN</v>
      </c>
      <c r="C17" s="1" t="str">
        <f>_xll.BC($A$17,"AJUT")</f>
        <v>#BCONN</v>
      </c>
      <c r="D17" s="1" t="str">
        <f>_xll.BC($A$17,"AJU")</f>
        <v>#BCONN</v>
      </c>
      <c r="E17" s="1" t="str">
        <f>_xll.BC($A$17,"CAB")</f>
        <v>#BCONN</v>
      </c>
      <c r="F17" s="1" t="str">
        <f>_xll.BC($A$17,"CNG")</f>
        <v>#BCONN</v>
      </c>
      <c r="G17" s="1" t="str">
        <f>_xll.BC($A$17,"NEG")</f>
        <v>#BCONN</v>
      </c>
    </row>
    <row r="18" spans="1:7" x14ac:dyDescent="0.2">
      <c r="A18" t="s">
        <v>12</v>
      </c>
      <c r="B18" s="8" t="str">
        <f>_xll.BC($A$18,"DAJ")</f>
        <v>#BCONN</v>
      </c>
      <c r="C18" s="1" t="str">
        <f>_xll.BC($A$18,"AJUT")</f>
        <v>#BCONN</v>
      </c>
      <c r="D18" s="1" t="str">
        <f>_xll.BC($A$18,"AJU")</f>
        <v>#BCONN</v>
      </c>
      <c r="E18" s="1" t="str">
        <f>_xll.BC($A$18,"CAB")</f>
        <v>#BCONN</v>
      </c>
      <c r="F18" s="1" t="str">
        <f>_xll.BC($A$18,"CNG")</f>
        <v>#BCONN</v>
      </c>
      <c r="G18" s="1" t="str">
        <f>_xll.BC($A$18,"NEG")</f>
        <v>#BCONN</v>
      </c>
    </row>
    <row r="19" spans="1:7" x14ac:dyDescent="0.2">
      <c r="A19" t="s">
        <v>13</v>
      </c>
      <c r="B19" s="8" t="str">
        <f>_xll.BC($A$19,"DAJ")</f>
        <v>#BCONN</v>
      </c>
      <c r="C19" s="1" t="str">
        <f>_xll.BC($A$19,"AJUT")</f>
        <v>#BCONN</v>
      </c>
      <c r="D19" s="1" t="str">
        <f>_xll.BC($A$19,"AJU")</f>
        <v>#BCONN</v>
      </c>
      <c r="E19" s="1" t="str">
        <f>_xll.BC($A$19,"CAB")</f>
        <v>#BCONN</v>
      </c>
      <c r="F19" s="1" t="str">
        <f>_xll.BC($A$19,"CNG")</f>
        <v>#BCONN</v>
      </c>
      <c r="G19" s="1" t="str">
        <f>_xll.BC($A$19,"NEG")</f>
        <v>#BCONN</v>
      </c>
    </row>
    <row r="20" spans="1:7" x14ac:dyDescent="0.2">
      <c r="A20" t="s">
        <v>14</v>
      </c>
      <c r="B20" s="8" t="str">
        <f>_xll.BC($A$20,"DAJ")</f>
        <v>#BCONN</v>
      </c>
      <c r="C20" s="1" t="str">
        <f>_xll.BC($A$20,"AJUT")</f>
        <v>#BCONN</v>
      </c>
      <c r="D20" s="1" t="str">
        <f>_xll.BC($A$20,"AJU")</f>
        <v>#BCONN</v>
      </c>
      <c r="E20" s="1" t="str">
        <f>_xll.BC($A$20,"CAB")</f>
        <v>#BCONN</v>
      </c>
      <c r="F20" s="1" t="str">
        <f>_xll.BC($A$20,"CNG")</f>
        <v>#BCONN</v>
      </c>
      <c r="G20" s="1" t="str">
        <f>_xll.BC($A$20,"NEG")</f>
        <v>#BCONN</v>
      </c>
    </row>
    <row r="21" spans="1:7" x14ac:dyDescent="0.2">
      <c r="A21" t="s">
        <v>15</v>
      </c>
      <c r="B21" s="8" t="str">
        <f>_xll.BC($A$21,"DAJ")</f>
        <v>#BCONN</v>
      </c>
      <c r="C21" s="1" t="str">
        <f>_xll.BC($A$21,"AJUT")</f>
        <v>#BCONN</v>
      </c>
      <c r="D21" s="1" t="str">
        <f>_xll.BC($A$21,"AJU")</f>
        <v>#BCONN</v>
      </c>
      <c r="E21" s="1" t="str">
        <f>_xll.BC($A$21,"CAB")</f>
        <v>#BCONN</v>
      </c>
      <c r="F21" s="1" t="str">
        <f>_xll.BC($A$21,"CNG")</f>
        <v>#BCONN</v>
      </c>
      <c r="G21" s="1" t="str">
        <f>_xll.BC($A$21,"NEG")</f>
        <v>#BCONN</v>
      </c>
    </row>
    <row r="22" spans="1:7" x14ac:dyDescent="0.2">
      <c r="A22" t="s">
        <v>16</v>
      </c>
      <c r="B22" s="8" t="str">
        <f>_xll.BC($A$22,"DAJ")</f>
        <v>#BCONN</v>
      </c>
      <c r="C22" s="1" t="str">
        <f>_xll.BC($A$22,"AJUT")</f>
        <v>#BCONN</v>
      </c>
      <c r="D22" s="1" t="str">
        <f>_xll.BC($A$22,"AJU")</f>
        <v>#BCONN</v>
      </c>
      <c r="E22" s="1" t="str">
        <f>_xll.BC($A$22,"CAB")</f>
        <v>#BCONN</v>
      </c>
      <c r="F22" s="1" t="str">
        <f>_xll.BC($A$22,"CNG")</f>
        <v>#BCONN</v>
      </c>
      <c r="G22" s="1" t="str">
        <f>_xll.BC($A$22,"NEG")</f>
        <v>#BCONN</v>
      </c>
    </row>
    <row r="23" spans="1:7" x14ac:dyDescent="0.2">
      <c r="A23" t="s">
        <v>17</v>
      </c>
      <c r="B23" s="8" t="str">
        <f>_xll.BC($A$23,"DAJ")</f>
        <v>#BCONN</v>
      </c>
      <c r="C23" s="1" t="str">
        <f>_xll.BC($A$23,"AJUT")</f>
        <v>#BCONN</v>
      </c>
      <c r="D23" s="1" t="str">
        <f>_xll.BC($A$23,"AJU")</f>
        <v>#BCONN</v>
      </c>
      <c r="E23" s="1" t="str">
        <f>_xll.BC($A$23,"CAB")</f>
        <v>#BCONN</v>
      </c>
      <c r="F23" s="1" t="str">
        <f>_xll.BC($A$23,"CNG")</f>
        <v>#BCONN</v>
      </c>
      <c r="G23" s="1" t="str">
        <f>_xll.BC($A$23,"NEG")</f>
        <v>#BCONN</v>
      </c>
    </row>
    <row r="24" spans="1:7" x14ac:dyDescent="0.2">
      <c r="A24" t="s">
        <v>124</v>
      </c>
      <c r="B24" s="8" t="str">
        <f>_xll.BC($A$24,"DAJ")</f>
        <v>#BCONN</v>
      </c>
      <c r="C24" s="1" t="str">
        <f>_xll.BC($A$24,"AJUT")</f>
        <v>#BCONN</v>
      </c>
      <c r="D24" s="1" t="str">
        <f>_xll.BC($A$24,"AJU")</f>
        <v>#BCONN</v>
      </c>
      <c r="E24" s="1" t="str">
        <f>_xll.BC($A$24,"CAB")</f>
        <v>#BCONN</v>
      </c>
      <c r="F24" s="1" t="str">
        <f>_xll.BC($A$24,"CNG")</f>
        <v>#BCONN</v>
      </c>
      <c r="G24" s="1" t="str">
        <f>_xll.BC($A$24,"NEG")</f>
        <v>#BCONN</v>
      </c>
    </row>
    <row r="25" spans="1:7" x14ac:dyDescent="0.2">
      <c r="A25" t="s">
        <v>18</v>
      </c>
      <c r="B25" s="8" t="str">
        <f>_xll.BC($A$25,"DAJ")</f>
        <v>#BCONN</v>
      </c>
      <c r="C25" s="1" t="str">
        <f>_xll.BC($A$25,"AJUT")</f>
        <v>#BCONN</v>
      </c>
      <c r="D25" s="1" t="str">
        <f>_xll.BC($A$25,"AJU")</f>
        <v>#BCONN</v>
      </c>
      <c r="E25" s="1" t="str">
        <f>_xll.BC($A$25,"CAB")</f>
        <v>#BCONN</v>
      </c>
      <c r="F25" s="1" t="str">
        <f>_xll.BC($A$25,"CNG")</f>
        <v>#BCONN</v>
      </c>
      <c r="G25" s="1" t="str">
        <f>_xll.BC($A$25,"NEG")</f>
        <v>#BCONN</v>
      </c>
    </row>
    <row r="26" spans="1:7" x14ac:dyDescent="0.2">
      <c r="A26" t="s">
        <v>125</v>
      </c>
      <c r="B26" s="8" t="str">
        <f>_xll.BC($A$26,"DAJ")</f>
        <v>#BCONN</v>
      </c>
      <c r="C26" s="1" t="str">
        <f>_xll.BC($A$26,"AJUT")</f>
        <v>#BCONN</v>
      </c>
      <c r="D26" s="1" t="str">
        <f>_xll.BC($A$26,"AJU")</f>
        <v>#BCONN</v>
      </c>
      <c r="E26" s="1" t="str">
        <f>_xll.BC($A$26,"CAB")</f>
        <v>#BCONN</v>
      </c>
      <c r="F26" s="1" t="str">
        <f>_xll.BC($A$26,"CNG")</f>
        <v>#BCONN</v>
      </c>
      <c r="G26" s="1" t="str">
        <f>_xll.BC($A$26,"NEG")</f>
        <v>#BCONN</v>
      </c>
    </row>
    <row r="27" spans="1:7" x14ac:dyDescent="0.2">
      <c r="A27" t="s">
        <v>19</v>
      </c>
      <c r="B27" s="8" t="str">
        <f>_xll.BC($A$27,"DAJ")</f>
        <v>#BCONN</v>
      </c>
      <c r="C27" s="1" t="str">
        <f>_xll.BC($A$27,"AJUT")</f>
        <v>#BCONN</v>
      </c>
      <c r="D27" s="1" t="str">
        <f>_xll.BC($A$27,"AJU")</f>
        <v>#BCONN</v>
      </c>
      <c r="E27" s="1" t="str">
        <f>_xll.BC($A$27,"CAB")</f>
        <v>#BCONN</v>
      </c>
      <c r="F27" s="1" t="str">
        <f>_xll.BC($A$27,"CNG")</f>
        <v>#BCONN</v>
      </c>
      <c r="G27" s="1" t="str">
        <f>_xll.BC($A$27,"NEG")</f>
        <v>#BCONN</v>
      </c>
    </row>
    <row r="28" spans="1:7" x14ac:dyDescent="0.2">
      <c r="A28" t="s">
        <v>181</v>
      </c>
      <c r="B28" s="8" t="str">
        <f>_xll.BC($A$28,"DAJ")</f>
        <v>#BCONN</v>
      </c>
      <c r="C28" s="1" t="str">
        <f>_xll.BC($A$28,"AJUT")</f>
        <v>#BCONN</v>
      </c>
      <c r="D28" s="1" t="str">
        <f>_xll.BC($A$28,"AJU")</f>
        <v>#BCONN</v>
      </c>
      <c r="E28" s="1" t="str">
        <f>_xll.BC($A$28,"CAB")</f>
        <v>#BCONN</v>
      </c>
      <c r="F28" s="1" t="str">
        <f>_xll.BC($A$28,"CNG")</f>
        <v>#BCONN</v>
      </c>
      <c r="G28" s="1" t="str">
        <f>_xll.BC($A$28,"NEG")</f>
        <v>#BCONN</v>
      </c>
    </row>
    <row r="29" spans="1:7" x14ac:dyDescent="0.2">
      <c r="A29" t="s">
        <v>201</v>
      </c>
      <c r="B29" s="8" t="str">
        <f>_xll.BC($A$29,"DAJ")</f>
        <v>#BCONN</v>
      </c>
      <c r="C29" s="1" t="str">
        <f>_xll.BC($A$29,"AJUT")</f>
        <v>#BCONN</v>
      </c>
      <c r="D29" s="1" t="str">
        <f>_xll.BC($A$29,"AJU")</f>
        <v>#BCONN</v>
      </c>
      <c r="E29" s="1" t="str">
        <f>_xll.BC($A$29,"CAB")</f>
        <v>#BCONN</v>
      </c>
      <c r="F29" s="1" t="str">
        <f>_xll.BC($A$29,"CNG")</f>
        <v>#BCONN</v>
      </c>
      <c r="G29" s="1" t="str">
        <f>_xll.BC($A$29,"NEG")</f>
        <v>#BCONN</v>
      </c>
    </row>
    <row r="30" spans="1:7" x14ac:dyDescent="0.2">
      <c r="A30" t="s">
        <v>20</v>
      </c>
      <c r="B30" s="8" t="str">
        <f>_xll.BC($A$30,"DAJ")</f>
        <v>#BCONN</v>
      </c>
      <c r="C30" s="1" t="str">
        <f>_xll.BC($A$30,"AJUT")</f>
        <v>#BCONN</v>
      </c>
      <c r="D30" s="1" t="str">
        <f>_xll.BC($A$30,"AJU")</f>
        <v>#BCONN</v>
      </c>
      <c r="E30" s="1" t="str">
        <f>_xll.BC($A$30,"CAB")</f>
        <v>#BCONN</v>
      </c>
      <c r="F30" s="1" t="str">
        <f>_xll.BC($A$30,"CNG")</f>
        <v>#BCONN</v>
      </c>
      <c r="G30" s="1" t="str">
        <f>_xll.BC($A$30,"NEG")</f>
        <v>#BCONN</v>
      </c>
    </row>
    <row r="31" spans="1:7" x14ac:dyDescent="0.2">
      <c r="A31" t="s">
        <v>21</v>
      </c>
      <c r="B31" s="8" t="str">
        <f>_xll.BC($A$31,"DAJ")</f>
        <v>#BCONN</v>
      </c>
      <c r="C31" s="1" t="str">
        <f>_xll.BC($A$31,"AJUT")</f>
        <v>#BCONN</v>
      </c>
      <c r="D31" s="1" t="str">
        <f>_xll.BC($A$31,"AJU")</f>
        <v>#BCONN</v>
      </c>
      <c r="E31" s="1" t="str">
        <f>_xll.BC($A$31,"CAB")</f>
        <v>#BCONN</v>
      </c>
      <c r="F31" s="1" t="str">
        <f>_xll.BC($A$31,"CNG")</f>
        <v>#BCONN</v>
      </c>
      <c r="G31" s="1" t="str">
        <f>_xll.BC($A$31,"NEG")</f>
        <v>#BCONN</v>
      </c>
    </row>
    <row r="32" spans="1:7" x14ac:dyDescent="0.2">
      <c r="A32" t="s">
        <v>22</v>
      </c>
      <c r="B32" s="8" t="str">
        <f>_xll.BC($A$32,"DAJ")</f>
        <v>#BCONN</v>
      </c>
      <c r="C32" s="1" t="str">
        <f>_xll.BC($A$32,"AJUT")</f>
        <v>#BCONN</v>
      </c>
      <c r="D32" s="1" t="str">
        <f>_xll.BC($A$32,"AJU")</f>
        <v>#BCONN</v>
      </c>
      <c r="E32" s="1" t="str">
        <f>_xll.BC($A$32,"CAB")</f>
        <v>#BCONN</v>
      </c>
      <c r="F32" s="1" t="str">
        <f>_xll.BC($A$32,"CNG")</f>
        <v>#BCONN</v>
      </c>
      <c r="G32" s="1" t="str">
        <f>_xll.BC($A$32,"NEG")</f>
        <v>#BCONN</v>
      </c>
    </row>
    <row r="33" spans="1:7" x14ac:dyDescent="0.2">
      <c r="A33" t="s">
        <v>23</v>
      </c>
      <c r="B33" s="8" t="str">
        <f>_xll.BC($A$33,"DAJ")</f>
        <v>#BCONN</v>
      </c>
      <c r="C33" s="1" t="str">
        <f>_xll.BC($A$33,"AJUT")</f>
        <v>#BCONN</v>
      </c>
      <c r="D33" s="1" t="str">
        <f>_xll.BC($A$33,"AJU")</f>
        <v>#BCONN</v>
      </c>
      <c r="E33" s="1" t="str">
        <f>_xll.BC($A$33,"CAB")</f>
        <v>#BCONN</v>
      </c>
      <c r="F33" s="1" t="str">
        <f>_xll.BC($A$33,"CNG")</f>
        <v>#BCONN</v>
      </c>
      <c r="G33" s="1" t="str">
        <f>_xll.BC($A$33,"NEG")</f>
        <v>#BCONN</v>
      </c>
    </row>
    <row r="34" spans="1:7" x14ac:dyDescent="0.2">
      <c r="A34" t="s">
        <v>126</v>
      </c>
      <c r="B34" s="8" t="str">
        <f>_xll.BC($A$34,"DAJ")</f>
        <v>#BCONN</v>
      </c>
      <c r="C34" s="1" t="str">
        <f>_xll.BC($A$34,"AJUT")</f>
        <v>#BCONN</v>
      </c>
      <c r="D34" s="1" t="str">
        <f>_xll.BC($A$34,"AJU")</f>
        <v>#BCONN</v>
      </c>
      <c r="E34" s="1" t="str">
        <f>_xll.BC($A$34,"CAB")</f>
        <v>#BCONN</v>
      </c>
      <c r="F34" s="1" t="str">
        <f>_xll.BC($A$34,"CNG")</f>
        <v>#BCONN</v>
      </c>
      <c r="G34" s="1" t="str">
        <f>_xll.BC($A$34,"NEG")</f>
        <v>#BCONN</v>
      </c>
    </row>
    <row r="35" spans="1:7" x14ac:dyDescent="0.2">
      <c r="A35" t="s">
        <v>24</v>
      </c>
      <c r="B35" s="8" t="str">
        <f>_xll.BC($A$35,"DAJ")</f>
        <v>#BCONN</v>
      </c>
      <c r="C35" s="1" t="str">
        <f>_xll.BC($A$35,"AJUT")</f>
        <v>#BCONN</v>
      </c>
      <c r="D35" s="1" t="str">
        <f>_xll.BC($A$35,"AJU")</f>
        <v>#BCONN</v>
      </c>
      <c r="E35" s="1" t="str">
        <f>_xll.BC($A$35,"CAB")</f>
        <v>#BCONN</v>
      </c>
      <c r="F35" s="1" t="str">
        <f>_xll.BC($A$35,"CNG")</f>
        <v>#BCONN</v>
      </c>
      <c r="G35" s="1" t="str">
        <f>_xll.BC($A$35,"NEG")</f>
        <v>#BCONN</v>
      </c>
    </row>
    <row r="36" spans="1:7" x14ac:dyDescent="0.2">
      <c r="A36" t="s">
        <v>127</v>
      </c>
      <c r="B36" s="8" t="str">
        <f>_xll.BC($A$36,"DAJ")</f>
        <v>#BCONN</v>
      </c>
      <c r="C36" s="1" t="str">
        <f>_xll.BC($A$36,"AJUT")</f>
        <v>#BCONN</v>
      </c>
      <c r="D36" s="1" t="str">
        <f>_xll.BC($A$36,"AJU")</f>
        <v>#BCONN</v>
      </c>
      <c r="E36" s="1" t="str">
        <f>_xll.BC($A$36,"CAB")</f>
        <v>#BCONN</v>
      </c>
      <c r="F36" s="1" t="str">
        <f>_xll.BC($A$36,"CNG")</f>
        <v>#BCONN</v>
      </c>
      <c r="G36" s="1" t="str">
        <f>_xll.BC($A$36,"NEG")</f>
        <v>#BCONN</v>
      </c>
    </row>
    <row r="37" spans="1:7" x14ac:dyDescent="0.2">
      <c r="A37" t="s">
        <v>25</v>
      </c>
      <c r="B37" s="8" t="str">
        <f>_xll.BC($A$37,"DAJ")</f>
        <v>#BCONN</v>
      </c>
      <c r="C37" s="1" t="str">
        <f>_xll.BC($A$37,"AJUT")</f>
        <v>#BCONN</v>
      </c>
      <c r="D37" s="1" t="str">
        <f>_xll.BC($A$37,"AJU")</f>
        <v>#BCONN</v>
      </c>
      <c r="E37" s="1" t="str">
        <f>_xll.BC($A$37,"CAB")</f>
        <v>#BCONN</v>
      </c>
      <c r="F37" s="1" t="str">
        <f>_xll.BC($A$37,"CNG")</f>
        <v>#BCONN</v>
      </c>
      <c r="G37" s="1" t="str">
        <f>_xll.BC($A$37,"NEG")</f>
        <v>#BCONN</v>
      </c>
    </row>
    <row r="38" spans="1:7" x14ac:dyDescent="0.2">
      <c r="A38" t="s">
        <v>103</v>
      </c>
      <c r="B38" s="8" t="str">
        <f>_xll.BC($A$38,"DAJ")</f>
        <v>#BCONN</v>
      </c>
      <c r="C38" s="1" t="str">
        <f>_xll.BC($A$38,"AJUT")</f>
        <v>#BCONN</v>
      </c>
      <c r="D38" s="1" t="str">
        <f>_xll.BC($A$38,"AJU")</f>
        <v>#BCONN</v>
      </c>
      <c r="E38" s="1" t="str">
        <f>_xll.BC($A$38,"CAB")</f>
        <v>#BCONN</v>
      </c>
      <c r="F38" s="1" t="str">
        <f>_xll.BC($A$38,"CNG")</f>
        <v>#BCONN</v>
      </c>
      <c r="G38" s="1" t="str">
        <f>_xll.BC($A$38,"NEG")</f>
        <v>#BCONN</v>
      </c>
    </row>
    <row r="39" spans="1:7" x14ac:dyDescent="0.2">
      <c r="A39" t="s">
        <v>128</v>
      </c>
      <c r="B39" s="8" t="str">
        <f>_xll.BC($A$39,"DAJ")</f>
        <v>#BCONN</v>
      </c>
      <c r="C39" s="1" t="str">
        <f>_xll.BC($A$39,"AJUT")</f>
        <v>#BCONN</v>
      </c>
      <c r="D39" s="1" t="str">
        <f>_xll.BC($A$39,"AJU")</f>
        <v>#BCONN</v>
      </c>
      <c r="E39" s="1" t="str">
        <f>_xll.BC($A$39,"CAB")</f>
        <v>#BCONN</v>
      </c>
      <c r="F39" s="1" t="str">
        <f>_xll.BC($A$39,"CNG")</f>
        <v>#BCONN</v>
      </c>
      <c r="G39" s="1" t="str">
        <f>_xll.BC($A$39,"NEG")</f>
        <v>#BCONN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7A9E-6888-4E31-AC6E-4E3BC8F4354F}">
  <sheetPr codeName="Sheet7"/>
  <dimension ref="A1:G19"/>
  <sheetViews>
    <sheetView workbookViewId="0">
      <selection activeCell="B2" sqref="B2:B19"/>
    </sheetView>
  </sheetViews>
  <sheetFormatPr defaultRowHeight="12" x14ac:dyDescent="0.2"/>
  <cols>
    <col min="2" max="2" width="9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110</v>
      </c>
    </row>
    <row r="2" spans="1:7" x14ac:dyDescent="0.2">
      <c r="A2" t="s">
        <v>90</v>
      </c>
      <c r="B2" s="8" t="str">
        <f>_xll.BC($A$2,"DAJ")</f>
        <v>#BCONN</v>
      </c>
      <c r="C2" s="1" t="str">
        <f>_xll.BC($A$2,"AJUT")</f>
        <v>#BCONN</v>
      </c>
      <c r="D2" s="1" t="str">
        <f>_xll.BC($A$2,"AJU")</f>
        <v>#BCONN</v>
      </c>
      <c r="E2" s="1" t="str">
        <f>_xll.BC($A$2,"CAB")</f>
        <v>#BCONN</v>
      </c>
      <c r="F2" s="1" t="str">
        <f>_xll.BC($A$2,"CNG")</f>
        <v>#BCONN</v>
      </c>
      <c r="G2" s="1" t="str">
        <f>_xll.BC($A$2,"NEG")</f>
        <v>#BCONN</v>
      </c>
    </row>
    <row r="3" spans="1:7" x14ac:dyDescent="0.2">
      <c r="A3" t="s">
        <v>188</v>
      </c>
      <c r="B3" s="8" t="str">
        <f>_xll.BC($A$3,"DAJ")</f>
        <v>#BCONN</v>
      </c>
      <c r="C3" s="1" t="str">
        <f>_xll.BC($A$3,"AJUT")</f>
        <v>#BCONN</v>
      </c>
      <c r="D3" s="1" t="str">
        <f>_xll.BC($A$3,"AJU")</f>
        <v>#BCONN</v>
      </c>
      <c r="E3" s="1" t="str">
        <f>_xll.BC($A$3,"CAB")</f>
        <v>#BCONN</v>
      </c>
      <c r="F3" s="1" t="str">
        <f>_xll.BC($A$3,"CNG")</f>
        <v>#BCONN</v>
      </c>
      <c r="G3" s="1" t="str">
        <f>_xll.BC($A$3,"NEG")</f>
        <v>#BCONN</v>
      </c>
    </row>
    <row r="4" spans="1:7" x14ac:dyDescent="0.2">
      <c r="A4" t="s">
        <v>109</v>
      </c>
      <c r="B4" s="8" t="str">
        <f>_xll.BC($A$4,"DAJ")</f>
        <v>#BCONN</v>
      </c>
      <c r="C4" s="1" t="str">
        <f>_xll.BC($A$4,"AJUT")</f>
        <v>#BCONN</v>
      </c>
      <c r="D4" s="1" t="str">
        <f>_xll.BC($A$4,"AJU")</f>
        <v>#BCONN</v>
      </c>
      <c r="E4" s="1" t="str">
        <f>_xll.BC($A$4,"CAB")</f>
        <v>#BCONN</v>
      </c>
      <c r="F4" s="1" t="str">
        <f>_xll.BC($A$4,"CNG")</f>
        <v>#BCONN</v>
      </c>
      <c r="G4" s="1" t="str">
        <f>_xll.BC($A$4,"NEG")</f>
        <v>#BCONN</v>
      </c>
    </row>
    <row r="5" spans="1:7" x14ac:dyDescent="0.2">
      <c r="A5" t="s">
        <v>91</v>
      </c>
      <c r="B5" s="8" t="str">
        <f>_xll.BC($A$5,"DAJ")</f>
        <v>#BCONN</v>
      </c>
      <c r="C5" s="1" t="str">
        <f>_xll.BC($A$5,"AJUT")</f>
        <v>#BCONN</v>
      </c>
      <c r="D5" s="1" t="str">
        <f>_xll.BC($A$5,"AJU")</f>
        <v>#BCONN</v>
      </c>
      <c r="E5" s="1" t="str">
        <f>_xll.BC($A$5,"CAB")</f>
        <v>#BCONN</v>
      </c>
      <c r="F5" s="1" t="str">
        <f>_xll.BC($A$5,"CNG")</f>
        <v>#BCONN</v>
      </c>
      <c r="G5" s="1" t="str">
        <f>_xll.BC($A$5,"NEG")</f>
        <v>#BCONN</v>
      </c>
    </row>
    <row r="6" spans="1:7" x14ac:dyDescent="0.2">
      <c r="A6" t="s">
        <v>150</v>
      </c>
      <c r="B6" s="8" t="str">
        <f>_xll.BC($A$6,"DAJ")</f>
        <v>#BCONN</v>
      </c>
      <c r="C6" s="1" t="str">
        <f>_xll.BC($A$6,"AJUT")</f>
        <v>#BCONN</v>
      </c>
      <c r="D6" s="1" t="str">
        <f>_xll.BC($A$6,"AJU")</f>
        <v>#BCONN</v>
      </c>
      <c r="E6" s="1" t="str">
        <f>_xll.BC($A$6,"CAB")</f>
        <v>#BCONN</v>
      </c>
      <c r="F6" s="1" t="str">
        <f>_xll.BC($A$6,"CNG")</f>
        <v>#BCONN</v>
      </c>
      <c r="G6" s="1" t="str">
        <f>_xll.BC($A$6,"NEG")</f>
        <v>#BCONN</v>
      </c>
    </row>
    <row r="7" spans="1:7" x14ac:dyDescent="0.2">
      <c r="A7" t="s">
        <v>92</v>
      </c>
      <c r="B7" s="8" t="str">
        <f>_xll.BC($A$7,"DAJ")</f>
        <v>#BCONN</v>
      </c>
      <c r="C7" s="1" t="str">
        <f>_xll.BC($A$7,"AJUT")</f>
        <v>#BCONN</v>
      </c>
      <c r="D7" s="1" t="str">
        <f>_xll.BC($A$7,"AJU")</f>
        <v>#BCONN</v>
      </c>
      <c r="E7" s="1" t="str">
        <f>_xll.BC($A$7,"CAB")</f>
        <v>#BCONN</v>
      </c>
      <c r="F7" s="1" t="str">
        <f>_xll.BC($A$7,"CNG")</f>
        <v>#BCONN</v>
      </c>
      <c r="G7" s="1" t="str">
        <f>_xll.BC($A$7,"NEG")</f>
        <v>#BCONN</v>
      </c>
    </row>
    <row r="8" spans="1:7" x14ac:dyDescent="0.2">
      <c r="A8" t="s">
        <v>93</v>
      </c>
      <c r="B8" s="8" t="str">
        <f>_xll.BC($A$8,"DAJ")</f>
        <v>#BCONN</v>
      </c>
      <c r="C8" s="1" t="str">
        <f>_xll.BC($A$8,"AJUT")</f>
        <v>#BCONN</v>
      </c>
      <c r="D8" s="1" t="str">
        <f>_xll.BC($A$8,"AJU")</f>
        <v>#BCONN</v>
      </c>
      <c r="E8" s="1" t="str">
        <f>_xll.BC($A$8,"CAB")</f>
        <v>#BCONN</v>
      </c>
      <c r="F8" s="1" t="str">
        <f>_xll.BC($A$8,"CNG")</f>
        <v>#BCONN</v>
      </c>
      <c r="G8" s="1" t="str">
        <f>_xll.BC($A$8,"NEG")</f>
        <v>#BCONN</v>
      </c>
    </row>
    <row r="9" spans="1:7" x14ac:dyDescent="0.2">
      <c r="A9" t="s">
        <v>94</v>
      </c>
      <c r="B9" s="8" t="str">
        <f>_xll.BC($A$9,"DAJ")</f>
        <v>#BCONN</v>
      </c>
      <c r="C9" s="1" t="str">
        <f>_xll.BC($A$9,"AJUT")</f>
        <v>#BCONN</v>
      </c>
      <c r="D9" s="1" t="str">
        <f>_xll.BC($A$9,"AJU")</f>
        <v>#BCONN</v>
      </c>
      <c r="E9" s="1" t="str">
        <f>_xll.BC($A$9,"CAB")</f>
        <v>#BCONN</v>
      </c>
      <c r="F9" s="1" t="str">
        <f>_xll.BC($A$9,"CNG")</f>
        <v>#BCONN</v>
      </c>
      <c r="G9" s="1" t="str">
        <f>_xll.BC($A$9,"NEG")</f>
        <v>#BCONN</v>
      </c>
    </row>
    <row r="10" spans="1:7" x14ac:dyDescent="0.2">
      <c r="A10" t="s">
        <v>151</v>
      </c>
      <c r="B10" s="8" t="str">
        <f>_xll.BC($A$10,"DAJ")</f>
        <v>#BCONN</v>
      </c>
      <c r="C10" s="1" t="str">
        <f>_xll.BC($A$10,"AJUT")</f>
        <v>#BCONN</v>
      </c>
      <c r="D10" s="1" t="str">
        <f>_xll.BC($A$10,"AJU")</f>
        <v>#BCONN</v>
      </c>
      <c r="E10" s="1" t="str">
        <f>_xll.BC($A$10,"CAB")</f>
        <v>#BCONN</v>
      </c>
      <c r="F10" s="1" t="str">
        <f>_xll.BC($A$10,"CNG")</f>
        <v>#BCONN</v>
      </c>
      <c r="G10" s="1" t="str">
        <f>_xll.BC($A$10,"NEG")</f>
        <v>#BCONN</v>
      </c>
    </row>
    <row r="11" spans="1:7" x14ac:dyDescent="0.2">
      <c r="A11" t="s">
        <v>95</v>
      </c>
      <c r="B11" s="8" t="str">
        <f>_xll.BC($A$11,"DAJ")</f>
        <v>#BCONN</v>
      </c>
      <c r="C11" s="1" t="str">
        <f>_xll.BC($A$11,"AJUT")</f>
        <v>#BCONN</v>
      </c>
      <c r="D11" s="1" t="str">
        <f>_xll.BC($A$11,"AJU")</f>
        <v>#BCONN</v>
      </c>
      <c r="E11" s="1" t="str">
        <f>_xll.BC($A$11,"CAB")</f>
        <v>#BCONN</v>
      </c>
      <c r="F11" s="1" t="str">
        <f>_xll.BC($A$11,"CNG")</f>
        <v>#BCONN</v>
      </c>
      <c r="G11" s="1" t="str">
        <f>_xll.BC($A$11,"NEG")</f>
        <v>#BCONN</v>
      </c>
    </row>
    <row r="12" spans="1:7" x14ac:dyDescent="0.2">
      <c r="A12" t="s">
        <v>96</v>
      </c>
      <c r="B12" s="8" t="str">
        <f>_xll.BC($A$12,"DAJ")</f>
        <v>#BCONN</v>
      </c>
      <c r="C12" s="1" t="str">
        <f>_xll.BC($A$12,"AJUT")</f>
        <v>#BCONN</v>
      </c>
      <c r="D12" s="1" t="str">
        <f>_xll.BC($A$12,"AJU")</f>
        <v>#BCONN</v>
      </c>
      <c r="E12" s="1" t="str">
        <f>_xll.BC($A$12,"CAB")</f>
        <v>#BCONN</v>
      </c>
      <c r="F12" s="1" t="str">
        <f>_xll.BC($A$12,"CNG")</f>
        <v>#BCONN</v>
      </c>
      <c r="G12" s="1" t="str">
        <f>_xll.BC($A$12,"NEG")</f>
        <v>#BCONN</v>
      </c>
    </row>
    <row r="13" spans="1:7" x14ac:dyDescent="0.2">
      <c r="A13" t="s">
        <v>152</v>
      </c>
      <c r="B13" s="8" t="str">
        <f>_xll.BC($A$13,"DAJ")</f>
        <v>#BCONN</v>
      </c>
      <c r="C13" s="1" t="str">
        <f>_xll.BC($A$13,"AJUT")</f>
        <v>#BCONN</v>
      </c>
      <c r="D13" s="1" t="str">
        <f>_xll.BC($A$13,"AJU")</f>
        <v>#BCONN</v>
      </c>
      <c r="E13" s="1" t="str">
        <f>_xll.BC($A$13,"CAB")</f>
        <v>#BCONN</v>
      </c>
      <c r="F13" s="1" t="str">
        <f>_xll.BC($A$13,"CNG")</f>
        <v>#BCONN</v>
      </c>
      <c r="G13" s="1" t="str">
        <f>_xll.BC($A$13,"NEG")</f>
        <v>#BCONN</v>
      </c>
    </row>
    <row r="14" spans="1:7" x14ac:dyDescent="0.2">
      <c r="A14" t="s">
        <v>97</v>
      </c>
      <c r="B14" s="8" t="str">
        <f>_xll.BC($A$14,"DAJ")</f>
        <v>#BCONN</v>
      </c>
      <c r="C14" s="1" t="str">
        <f>_xll.BC($A$14,"AJUT")</f>
        <v>#BCONN</v>
      </c>
      <c r="D14" s="1" t="str">
        <f>_xll.BC($A$14,"AJU")</f>
        <v>#BCONN</v>
      </c>
      <c r="E14" s="1" t="str">
        <f>_xll.BC($A$14,"CAB")</f>
        <v>#BCONN</v>
      </c>
      <c r="F14" s="1" t="str">
        <f>_xll.BC($A$14,"CNG")</f>
        <v>#BCONN</v>
      </c>
      <c r="G14" s="1" t="str">
        <f>_xll.BC($A$14,"NEG")</f>
        <v>#BCONN</v>
      </c>
    </row>
    <row r="15" spans="1:7" x14ac:dyDescent="0.2">
      <c r="A15" t="s">
        <v>98</v>
      </c>
      <c r="B15" s="8" t="str">
        <f>_xll.BC($A$15,"DAJ")</f>
        <v>#BCONN</v>
      </c>
      <c r="C15" s="1" t="str">
        <f>_xll.BC($A$15,"AJUT")</f>
        <v>#BCONN</v>
      </c>
      <c r="D15" s="1" t="str">
        <f>_xll.BC($A$15,"AJU")</f>
        <v>#BCONN</v>
      </c>
      <c r="E15" s="1" t="str">
        <f>_xll.BC($A$15,"CAB")</f>
        <v>#BCONN</v>
      </c>
      <c r="F15" s="1" t="str">
        <f>_xll.BC($A$15,"CNG")</f>
        <v>#BCONN</v>
      </c>
      <c r="G15" s="1" t="str">
        <f>_xll.BC($A$15,"NEG")</f>
        <v>#BCONN</v>
      </c>
    </row>
    <row r="16" spans="1:7" x14ac:dyDescent="0.2">
      <c r="A16" t="s">
        <v>99</v>
      </c>
      <c r="B16" s="8" t="str">
        <f>_xll.BC($A$16,"DAJ")</f>
        <v>#BCONN</v>
      </c>
      <c r="C16" s="1" t="str">
        <f>_xll.BC($A$16,"AJUT")</f>
        <v>#BCONN</v>
      </c>
      <c r="D16" s="1" t="str">
        <f>_xll.BC($A$16,"AJU")</f>
        <v>#BCONN</v>
      </c>
      <c r="E16" s="1" t="str">
        <f>_xll.BC($A$16,"CAB")</f>
        <v>#BCONN</v>
      </c>
      <c r="F16" s="1" t="str">
        <f>_xll.BC($A$16,"CNG")</f>
        <v>#BCONN</v>
      </c>
      <c r="G16" s="1" t="str">
        <f>_xll.BC($A$16,"NEG")</f>
        <v>#BCONN</v>
      </c>
    </row>
    <row r="17" spans="1:7" x14ac:dyDescent="0.2">
      <c r="A17" t="s">
        <v>100</v>
      </c>
      <c r="B17" s="8" t="str">
        <f>_xll.BC($A$17,"DAJ")</f>
        <v>#BCONN</v>
      </c>
      <c r="C17" s="1" t="str">
        <f>_xll.BC($A$17,"AJUT")</f>
        <v>#BCONN</v>
      </c>
      <c r="D17" s="1" t="str">
        <f>_xll.BC($A$17,"AJU")</f>
        <v>#BCONN</v>
      </c>
      <c r="E17" s="1" t="str">
        <f>_xll.BC($A$17,"CAB")</f>
        <v>#BCONN</v>
      </c>
      <c r="F17" s="1" t="str">
        <f>_xll.BC($A$17,"CNG")</f>
        <v>#BCONN</v>
      </c>
      <c r="G17" s="1" t="str">
        <f>_xll.BC($A$17,"NEG")</f>
        <v>#BCONN</v>
      </c>
    </row>
    <row r="18" spans="1:7" x14ac:dyDescent="0.2">
      <c r="A18" t="s">
        <v>101</v>
      </c>
      <c r="B18" s="8" t="str">
        <f>_xll.BC($A$18,"DAJ")</f>
        <v>#BCONN</v>
      </c>
      <c r="C18" s="1" t="str">
        <f>_xll.BC($A$18,"AJUT")</f>
        <v>#BCONN</v>
      </c>
      <c r="D18" s="1" t="str">
        <f>_xll.BC($A$18,"AJU")</f>
        <v>#BCONN</v>
      </c>
      <c r="E18" s="1" t="str">
        <f>_xll.BC($A$18,"CAB")</f>
        <v>#BCONN</v>
      </c>
      <c r="F18" s="1" t="str">
        <f>_xll.BC($A$18,"CNG")</f>
        <v>#BCONN</v>
      </c>
      <c r="G18" s="1" t="str">
        <f>_xll.BC($A$18,"NEG")</f>
        <v>#BCONN</v>
      </c>
    </row>
    <row r="19" spans="1:7" x14ac:dyDescent="0.2">
      <c r="A19" t="s">
        <v>153</v>
      </c>
      <c r="B19" s="8" t="str">
        <f>_xll.BC($A$19,"DAJ")</f>
        <v>#BCONN</v>
      </c>
      <c r="C19" s="1" t="str">
        <f>_xll.BC($A$19,"AJUT")</f>
        <v>#BCONN</v>
      </c>
      <c r="D19" s="1" t="str">
        <f>_xll.BC($A$19,"AJU")</f>
        <v>#BCONN</v>
      </c>
      <c r="E19" s="1" t="str">
        <f>_xll.BC($A$19,"CAB")</f>
        <v>#BCONN</v>
      </c>
      <c r="F19" s="1" t="str">
        <f>_xll.BC($A$19,"CNG")</f>
        <v>#BCONN</v>
      </c>
      <c r="G19" s="1" t="str">
        <f>_xll.BC($A$19,"NEG")</f>
        <v>#BCONN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9A31-AA71-4357-9089-2DC29203263A}">
  <sheetPr codeName="Sheet8"/>
  <dimension ref="A1:E47"/>
  <sheetViews>
    <sheetView workbookViewId="0">
      <selection activeCell="E4" sqref="E4"/>
    </sheetView>
  </sheetViews>
  <sheetFormatPr defaultRowHeight="12" x14ac:dyDescent="0.2"/>
  <cols>
    <col min="1" max="1" width="7.5" style="9" bestFit="1" customWidth="1"/>
    <col min="2" max="5" width="12.1640625" style="9" customWidth="1"/>
  </cols>
  <sheetData>
    <row r="1" spans="1:5" x14ac:dyDescent="0.2">
      <c r="A1" s="9" t="s">
        <v>0</v>
      </c>
      <c r="B1" s="9" t="s">
        <v>0</v>
      </c>
      <c r="C1" s="9" t="s">
        <v>113</v>
      </c>
      <c r="D1" s="9" t="s">
        <v>89</v>
      </c>
      <c r="E1" s="9" t="s">
        <v>110</v>
      </c>
    </row>
    <row r="2" spans="1:5" x14ac:dyDescent="0.2">
      <c r="A2" s="10" t="s">
        <v>111</v>
      </c>
      <c r="B2" s="11" t="str">
        <f>_xll.BC($A2,B$1)</f>
        <v>#BCONN</v>
      </c>
      <c r="C2" s="11" t="str">
        <f>_xll.BC($A2,C$1)</f>
        <v>#BCONN</v>
      </c>
      <c r="D2" s="12" t="str">
        <f>_xll.BC($A2,D$1)</f>
        <v>#BCONN</v>
      </c>
      <c r="E2" s="12" t="str">
        <f>_xll.BC($A2,E$1)</f>
        <v>#BCONN</v>
      </c>
    </row>
    <row r="3" spans="1:5" x14ac:dyDescent="0.2">
      <c r="A3" s="10" t="s">
        <v>112</v>
      </c>
      <c r="B3" s="11" t="str">
        <f>_xll.BC($A3,B$1)</f>
        <v>#BCONN</v>
      </c>
      <c r="C3" s="11" t="str">
        <f>_xll.BC($A3,C$1)</f>
        <v>#BCONN</v>
      </c>
      <c r="D3" s="12" t="str">
        <f>_xll.BC($A3,D$1)</f>
        <v>#BCONN</v>
      </c>
      <c r="E3" s="12" t="str">
        <f>_xll.BC($A3,E$1)</f>
        <v>#BCONN</v>
      </c>
    </row>
    <row r="4" spans="1:5" x14ac:dyDescent="0.2">
      <c r="C4" s="11"/>
      <c r="D4" s="12"/>
      <c r="E4" s="12"/>
    </row>
    <row r="5" spans="1:5" x14ac:dyDescent="0.2">
      <c r="C5" s="11"/>
      <c r="D5" s="12"/>
      <c r="E5" s="12"/>
    </row>
    <row r="6" spans="1:5" x14ac:dyDescent="0.2">
      <c r="D6" s="12"/>
      <c r="E6" s="12"/>
    </row>
    <row r="7" spans="1:5" x14ac:dyDescent="0.2">
      <c r="D7" s="12"/>
      <c r="E7" s="12"/>
    </row>
    <row r="8" spans="1:5" x14ac:dyDescent="0.2">
      <c r="D8" s="12"/>
      <c r="E8" s="12"/>
    </row>
    <row r="9" spans="1:5" x14ac:dyDescent="0.2">
      <c r="D9" s="12"/>
      <c r="E9" s="12"/>
    </row>
    <row r="10" spans="1:5" x14ac:dyDescent="0.2">
      <c r="D10" s="12"/>
      <c r="E10" s="12"/>
    </row>
    <row r="11" spans="1:5" x14ac:dyDescent="0.2">
      <c r="D11" s="12"/>
      <c r="E11" s="12"/>
    </row>
    <row r="12" spans="1:5" x14ac:dyDescent="0.2">
      <c r="D12" s="12"/>
      <c r="E12" s="12"/>
    </row>
    <row r="13" spans="1:5" x14ac:dyDescent="0.2">
      <c r="D13" s="12"/>
      <c r="E13" s="12"/>
    </row>
    <row r="14" spans="1:5" x14ac:dyDescent="0.2">
      <c r="D14" s="12"/>
      <c r="E14" s="12"/>
    </row>
    <row r="15" spans="1:5" x14ac:dyDescent="0.2">
      <c r="D15" s="12"/>
      <c r="E15" s="12"/>
    </row>
    <row r="16" spans="1:5" x14ac:dyDescent="0.2">
      <c r="D16" s="12"/>
      <c r="E16" s="12"/>
    </row>
    <row r="17" spans="4:5" x14ac:dyDescent="0.2">
      <c r="D17" s="12"/>
      <c r="E17" s="12"/>
    </row>
    <row r="18" spans="4:5" x14ac:dyDescent="0.2">
      <c r="D18" s="12"/>
      <c r="E18" s="12"/>
    </row>
    <row r="19" spans="4:5" x14ac:dyDescent="0.2">
      <c r="D19" s="12"/>
      <c r="E19" s="12"/>
    </row>
    <row r="20" spans="4:5" x14ac:dyDescent="0.2">
      <c r="D20" s="12"/>
      <c r="E20" s="12"/>
    </row>
    <row r="21" spans="4:5" x14ac:dyDescent="0.2">
      <c r="D21" s="12"/>
      <c r="E21" s="12"/>
    </row>
    <row r="22" spans="4:5" x14ac:dyDescent="0.2">
      <c r="D22" s="12"/>
      <c r="E22" s="12"/>
    </row>
    <row r="23" spans="4:5" x14ac:dyDescent="0.2">
      <c r="D23" s="12"/>
      <c r="E23" s="12"/>
    </row>
    <row r="24" spans="4:5" x14ac:dyDescent="0.2">
      <c r="D24" s="12"/>
      <c r="E24" s="12"/>
    </row>
    <row r="25" spans="4:5" x14ac:dyDescent="0.2">
      <c r="D25" s="12"/>
      <c r="E25" s="12"/>
    </row>
    <row r="26" spans="4:5" x14ac:dyDescent="0.2">
      <c r="D26" s="12"/>
      <c r="E26" s="12"/>
    </row>
    <row r="27" spans="4:5" x14ac:dyDescent="0.2">
      <c r="D27" s="12"/>
      <c r="E27" s="12"/>
    </row>
    <row r="28" spans="4:5" x14ac:dyDescent="0.2">
      <c r="D28" s="12"/>
      <c r="E28" s="12"/>
    </row>
    <row r="29" spans="4:5" x14ac:dyDescent="0.2">
      <c r="D29" s="12"/>
      <c r="E29" s="12"/>
    </row>
    <row r="30" spans="4:5" x14ac:dyDescent="0.2">
      <c r="D30" s="12"/>
      <c r="E30" s="12"/>
    </row>
    <row r="31" spans="4:5" x14ac:dyDescent="0.2">
      <c r="D31" s="12"/>
      <c r="E31" s="12"/>
    </row>
    <row r="32" spans="4:5" x14ac:dyDescent="0.2">
      <c r="D32" s="12"/>
      <c r="E32" s="12"/>
    </row>
    <row r="33" spans="4:5" x14ac:dyDescent="0.2">
      <c r="D33" s="12"/>
      <c r="E33" s="12"/>
    </row>
    <row r="34" spans="4:5" x14ac:dyDescent="0.2">
      <c r="D34" s="12"/>
      <c r="E34" s="12"/>
    </row>
    <row r="35" spans="4:5" x14ac:dyDescent="0.2">
      <c r="D35" s="12"/>
      <c r="E35" s="12"/>
    </row>
    <row r="36" spans="4:5" x14ac:dyDescent="0.2">
      <c r="D36" s="12"/>
      <c r="E36" s="12"/>
    </row>
    <row r="37" spans="4:5" x14ac:dyDescent="0.2">
      <c r="D37" s="12"/>
      <c r="E37" s="12"/>
    </row>
    <row r="38" spans="4:5" x14ac:dyDescent="0.2">
      <c r="D38" s="12"/>
      <c r="E38" s="12"/>
    </row>
    <row r="39" spans="4:5" x14ac:dyDescent="0.2">
      <c r="D39" s="12"/>
      <c r="E39" s="12"/>
    </row>
    <row r="40" spans="4:5" x14ac:dyDescent="0.2">
      <c r="D40" s="12"/>
      <c r="E40" s="12"/>
    </row>
    <row r="41" spans="4:5" x14ac:dyDescent="0.2">
      <c r="D41" s="12"/>
      <c r="E41" s="12"/>
    </row>
    <row r="42" spans="4:5" x14ac:dyDescent="0.2">
      <c r="D42" s="12"/>
      <c r="E42" s="12"/>
    </row>
    <row r="43" spans="4:5" x14ac:dyDescent="0.2">
      <c r="D43" s="12"/>
      <c r="E43" s="12"/>
    </row>
    <row r="44" spans="4:5" x14ac:dyDescent="0.2">
      <c r="D44" s="12"/>
      <c r="E44" s="12"/>
    </row>
    <row r="45" spans="4:5" x14ac:dyDescent="0.2">
      <c r="D45" s="12"/>
      <c r="E45" s="12"/>
    </row>
    <row r="46" spans="4:5" x14ac:dyDescent="0.2">
      <c r="D46" s="12"/>
      <c r="E46" s="12"/>
    </row>
    <row r="47" spans="4:5" x14ac:dyDescent="0.2">
      <c r="D47" s="12"/>
      <c r="E47" s="1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USDBRLFuture</vt:lpstr>
      <vt:lpstr>IBOVSPFuture</vt:lpstr>
      <vt:lpstr>DI1Future</vt:lpstr>
      <vt:lpstr>FRC</vt:lpstr>
      <vt:lpstr>DDI Future</vt:lpstr>
      <vt:lpstr>DAP Future</vt:lpstr>
      <vt:lpstr>Rolagem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Pereira</dc:creator>
  <cp:lastModifiedBy>Risk@Asset1.Capital</cp:lastModifiedBy>
  <dcterms:created xsi:type="dcterms:W3CDTF">2020-12-14T21:46:20Z</dcterms:created>
  <dcterms:modified xsi:type="dcterms:W3CDTF">2022-07-20T16:45:28Z</dcterms:modified>
</cp:coreProperties>
</file>