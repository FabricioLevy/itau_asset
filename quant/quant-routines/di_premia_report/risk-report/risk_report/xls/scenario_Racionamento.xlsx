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.pereira\Documents\GitHub\risk_report\xls\"/>
    </mc:Choice>
  </mc:AlternateContent>
  <xr:revisionPtr revIDLastSave="0" documentId="13_ncr:1_{B33EDDE8-9BE9-40A4-AE6F-003925B6733A}" xr6:coauthVersionLast="47" xr6:coauthVersionMax="47" xr10:uidLastSave="{00000000-0000-0000-0000-000000000000}"/>
  <bookViews>
    <workbookView xWindow="-28920" yWindow="-120" windowWidth="29040" windowHeight="15840" xr2:uid="{67936B50-54AD-4EFD-959F-3D82E9C4AFA4}"/>
  </bookViews>
  <sheets>
    <sheet name="choq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8" i="1" l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82" i="1"/>
  <c r="C81" i="1"/>
</calcChain>
</file>

<file path=xl/sharedStrings.xml><?xml version="1.0" encoding="utf-8"?>
<sst xmlns="http://schemas.openxmlformats.org/spreadsheetml/2006/main" count="262" uniqueCount="262">
  <si>
    <t>ret_pct</t>
  </si>
  <si>
    <t>ABEV3</t>
  </si>
  <si>
    <t>AGRO3</t>
  </si>
  <si>
    <t>AGXY3</t>
  </si>
  <si>
    <t>ALLD3</t>
  </si>
  <si>
    <t>AMAR3</t>
  </si>
  <si>
    <t>AMBP3</t>
  </si>
  <si>
    <t>ARML3</t>
  </si>
  <si>
    <t>ASAI3</t>
  </si>
  <si>
    <t>AURA33</t>
  </si>
  <si>
    <t>AZUL4</t>
  </si>
  <si>
    <t>BBAS3</t>
  </si>
  <si>
    <t>BBSE3</t>
  </si>
  <si>
    <t>BMOB3</t>
  </si>
  <si>
    <t>BRDT3</t>
  </si>
  <si>
    <t>BRIT3</t>
  </si>
  <si>
    <t>BRKM5</t>
  </si>
  <si>
    <t>CAML3</t>
  </si>
  <si>
    <t>CBAV3</t>
  </si>
  <si>
    <t>CIEL3</t>
  </si>
  <si>
    <t>CRFB3</t>
  </si>
  <si>
    <t>CSAN3</t>
  </si>
  <si>
    <t>CSNA3</t>
  </si>
  <si>
    <t>CVCB3</t>
  </si>
  <si>
    <t>CXSE3</t>
  </si>
  <si>
    <t>DESK3</t>
  </si>
  <si>
    <t>DOTZ3</t>
  </si>
  <si>
    <t>ENEV3</t>
  </si>
  <si>
    <t>ENGI11</t>
  </si>
  <si>
    <t>EQTL3</t>
  </si>
  <si>
    <t>FIQE3</t>
  </si>
  <si>
    <t>FLRY3</t>
  </si>
  <si>
    <t>GGBR4</t>
  </si>
  <si>
    <t>GMAT3</t>
  </si>
  <si>
    <t>HAPV3</t>
  </si>
  <si>
    <t>IBVSP</t>
  </si>
  <si>
    <t>IFCM3</t>
  </si>
  <si>
    <t>ITUB4</t>
  </si>
  <si>
    <t>KLBN11</t>
  </si>
  <si>
    <t>LVTC3</t>
  </si>
  <si>
    <t>MATD3</t>
  </si>
  <si>
    <t>MBLY3</t>
  </si>
  <si>
    <t>MDIA3</t>
  </si>
  <si>
    <t>MGLU3</t>
  </si>
  <si>
    <t>MILS3</t>
  </si>
  <si>
    <t>MLAS3</t>
  </si>
  <si>
    <t>MODL11</t>
  </si>
  <si>
    <t>MOSI3</t>
  </si>
  <si>
    <t>MOVI3</t>
  </si>
  <si>
    <t>MYPK3</t>
  </si>
  <si>
    <t>ORVR3</t>
  </si>
  <si>
    <t>PCAR3</t>
  </si>
  <si>
    <t>PETR4</t>
  </si>
  <si>
    <t>POMO4</t>
  </si>
  <si>
    <t>PSSA3</t>
  </si>
  <si>
    <t>RADL3</t>
  </si>
  <si>
    <t>RAIL3</t>
  </si>
  <si>
    <t>RAIZ4</t>
  </si>
  <si>
    <t>RDOR3</t>
  </si>
  <si>
    <t>SBFG3</t>
  </si>
  <si>
    <t>SBSP3</t>
  </si>
  <si>
    <t>SEQL3</t>
  </si>
  <si>
    <t>SMAL11</t>
  </si>
  <si>
    <t>SMFT3</t>
  </si>
  <si>
    <t>SOMA3</t>
  </si>
  <si>
    <t>STBP3</t>
  </si>
  <si>
    <t>SULA11</t>
  </si>
  <si>
    <t>SUZB3</t>
  </si>
  <si>
    <t>TGMA3</t>
  </si>
  <si>
    <t>TOTS3</t>
  </si>
  <si>
    <t>TRAD3</t>
  </si>
  <si>
    <t>TTEN3</t>
  </si>
  <si>
    <t>TUPY3</t>
  </si>
  <si>
    <t>UGPA3</t>
  </si>
  <si>
    <t>USIM5</t>
  </si>
  <si>
    <t>VALE3</t>
  </si>
  <si>
    <t>VAMO3</t>
  </si>
  <si>
    <t>VIVT3</t>
  </si>
  <si>
    <t>WEGE3</t>
  </si>
  <si>
    <t>YDUQ3</t>
  </si>
  <si>
    <t>DI_00001</t>
  </si>
  <si>
    <t>DI_00005</t>
  </si>
  <si>
    <t>DI_00030</t>
  </si>
  <si>
    <t>DI_00060</t>
  </si>
  <si>
    <t>DI_00090</t>
  </si>
  <si>
    <t>DI_00180</t>
  </si>
  <si>
    <t>DI_00270</t>
  </si>
  <si>
    <t>DI_00360</t>
  </si>
  <si>
    <t>DI_00540</t>
  </si>
  <si>
    <t>DI_00720</t>
  </si>
  <si>
    <t>DI_00900</t>
  </si>
  <si>
    <t>DI_01080</t>
  </si>
  <si>
    <t>DI_01440</t>
  </si>
  <si>
    <t>DI_01800</t>
  </si>
  <si>
    <t>DI_02160</t>
  </si>
  <si>
    <t>DI_02520</t>
  </si>
  <si>
    <t>DI_02880</t>
  </si>
  <si>
    <t>DI_03240</t>
  </si>
  <si>
    <t>DI_03600</t>
  </si>
  <si>
    <t>DI_03960</t>
  </si>
  <si>
    <t>DI_04320</t>
  </si>
  <si>
    <t>DI_04680</t>
  </si>
  <si>
    <t>DI_05040</t>
  </si>
  <si>
    <t>DI_05400</t>
  </si>
  <si>
    <t>DI_05760</t>
  </si>
  <si>
    <t>DI_06120</t>
  </si>
  <si>
    <t>DI_06480</t>
  </si>
  <si>
    <t>DI_06840</t>
  </si>
  <si>
    <t>DI_07200</t>
  </si>
  <si>
    <t>DI_07560</t>
  </si>
  <si>
    <t>DI_07920</t>
  </si>
  <si>
    <t>DI_08280</t>
  </si>
  <si>
    <t>DI_08640</t>
  </si>
  <si>
    <t>DI_09000</t>
  </si>
  <si>
    <t>DI_09360</t>
  </si>
  <si>
    <t>DI_09720</t>
  </si>
  <si>
    <t>DI_10080</t>
  </si>
  <si>
    <t>DI_10440</t>
  </si>
  <si>
    <t>DI_10800</t>
  </si>
  <si>
    <t>DI_11160</t>
  </si>
  <si>
    <t>DI_11520</t>
  </si>
  <si>
    <t>DI_11880</t>
  </si>
  <si>
    <t>DI_12240</t>
  </si>
  <si>
    <t>DI_12600</t>
  </si>
  <si>
    <t>DI_12960</t>
  </si>
  <si>
    <t>DI_13320</t>
  </si>
  <si>
    <t>DI_13680</t>
  </si>
  <si>
    <t>DI_14040</t>
  </si>
  <si>
    <t>DI_14400</t>
  </si>
  <si>
    <t>DI_14760</t>
  </si>
  <si>
    <t>DI_15120</t>
  </si>
  <si>
    <t>DI_15480</t>
  </si>
  <si>
    <t>DI_15840</t>
  </si>
  <si>
    <t>DI_16200</t>
  </si>
  <si>
    <t>DI_16560</t>
  </si>
  <si>
    <t>DI_16920</t>
  </si>
  <si>
    <t>DI_17280</t>
  </si>
  <si>
    <t>DI_17640</t>
  </si>
  <si>
    <t>DI_18000</t>
  </si>
  <si>
    <t>IPCA_COUPON_00001</t>
  </si>
  <si>
    <t>IPCA_COUPON_00005</t>
  </si>
  <si>
    <t>IPCA_COUPON_00030</t>
  </si>
  <si>
    <t>IPCA_COUPON_00060</t>
  </si>
  <si>
    <t>IPCA_COUPON_00090</t>
  </si>
  <si>
    <t>IPCA_COUPON_00180</t>
  </si>
  <si>
    <t>IPCA_COUPON_00270</t>
  </si>
  <si>
    <t>IPCA_COUPON_00360</t>
  </si>
  <si>
    <t>IPCA_COUPON_00540</t>
  </si>
  <si>
    <t>IPCA_COUPON_00720</t>
  </si>
  <si>
    <t>IPCA_COUPON_00900</t>
  </si>
  <si>
    <t>IPCA_COUPON_01080</t>
  </si>
  <si>
    <t>IPCA_COUPON_01440</t>
  </si>
  <si>
    <t>IPCA_COUPON_01800</t>
  </si>
  <si>
    <t>IPCA_COUPON_02160</t>
  </si>
  <si>
    <t>IPCA_COUPON_02520</t>
  </si>
  <si>
    <t>IPCA_COUPON_02880</t>
  </si>
  <si>
    <t>IPCA_COUPON_03240</t>
  </si>
  <si>
    <t>IPCA_COUPON_03600</t>
  </si>
  <si>
    <t>IPCA_COUPON_03960</t>
  </si>
  <si>
    <t>IPCA_COUPON_04320</t>
  </si>
  <si>
    <t>IPCA_COUPON_04680</t>
  </si>
  <si>
    <t>IPCA_COUPON_05040</t>
  </si>
  <si>
    <t>IPCA_COUPON_05400</t>
  </si>
  <si>
    <t>IPCA_COUPON_05760</t>
  </si>
  <si>
    <t>IPCA_COUPON_06120</t>
  </si>
  <si>
    <t>IPCA_COUPON_06480</t>
  </si>
  <si>
    <t>IPCA_COUPON_06840</t>
  </si>
  <si>
    <t>IPCA_COUPON_07200</t>
  </si>
  <si>
    <t>IPCA_COUPON_07560</t>
  </si>
  <si>
    <t>IPCA_COUPON_07920</t>
  </si>
  <si>
    <t>IPCA_COUPON_08280</t>
  </si>
  <si>
    <t>IPCA_COUPON_08640</t>
  </si>
  <si>
    <t>IPCA_COUPON_09000</t>
  </si>
  <si>
    <t>IPCA_COUPON_09360</t>
  </si>
  <si>
    <t>IPCA_COUPON_09720</t>
  </si>
  <si>
    <t>IPCA_COUPON_10080</t>
  </si>
  <si>
    <t>IPCA_COUPON_10440</t>
  </si>
  <si>
    <t>IPCA_COUPON_10800</t>
  </si>
  <si>
    <t>IPCA_COUPON_11160</t>
  </si>
  <si>
    <t>IPCA_COUPON_11520</t>
  </si>
  <si>
    <t>IPCA_COUPON_11880</t>
  </si>
  <si>
    <t>IPCA_COUPON_12240</t>
  </si>
  <si>
    <t>IPCA_COUPON_12600</t>
  </si>
  <si>
    <t>IPCA_COUPON_12960</t>
  </si>
  <si>
    <t>IPCA_COUPON_13320</t>
  </si>
  <si>
    <t>IPCA_COUPON_13680</t>
  </si>
  <si>
    <t>IPCA_COUPON_14040</t>
  </si>
  <si>
    <t>IPCA_COUPON_14400</t>
  </si>
  <si>
    <t>IPCA_COUPON_14760</t>
  </si>
  <si>
    <t>IPCA_COUPON_15120</t>
  </si>
  <si>
    <t>IPCA_COUPON_15480</t>
  </si>
  <si>
    <t>IPCA_COUPON_15840</t>
  </si>
  <si>
    <t>IPCA_COUPON_16200</t>
  </si>
  <si>
    <t>IPCA_COUPON_16560</t>
  </si>
  <si>
    <t>IPCA_COUPON_16920</t>
  </si>
  <si>
    <t>IPCA_COUPON_17280</t>
  </si>
  <si>
    <t>IPCA_COUPON_17640</t>
  </si>
  <si>
    <t>IPCA_COUPON_18000</t>
  </si>
  <si>
    <t>BRD_00001</t>
  </si>
  <si>
    <t>BRD_00005</t>
  </si>
  <si>
    <t>BRD_00030</t>
  </si>
  <si>
    <t>BRD_00060</t>
  </si>
  <si>
    <t>BRD_00090</t>
  </si>
  <si>
    <t>BRD_00180</t>
  </si>
  <si>
    <t>BRD_00270</t>
  </si>
  <si>
    <t>BRD_00360</t>
  </si>
  <si>
    <t>BRD_00540</t>
  </si>
  <si>
    <t>BRD_00720</t>
  </si>
  <si>
    <t>BRD_00900</t>
  </si>
  <si>
    <t>BRD_01080</t>
  </si>
  <si>
    <t>BRD_01440</t>
  </si>
  <si>
    <t>BRD_01800</t>
  </si>
  <si>
    <t>BRD_02160</t>
  </si>
  <si>
    <t>BRD_02520</t>
  </si>
  <si>
    <t>BRD_02880</t>
  </si>
  <si>
    <t>BRD_03240</t>
  </si>
  <si>
    <t>BRD_03600</t>
  </si>
  <si>
    <t>BRD_03960</t>
  </si>
  <si>
    <t>BRD_04320</t>
  </si>
  <si>
    <t>BRD_04680</t>
  </si>
  <si>
    <t>BRD_05040</t>
  </si>
  <si>
    <t>BRD_05400</t>
  </si>
  <si>
    <t>BRD_05760</t>
  </si>
  <si>
    <t>BRD_06120</t>
  </si>
  <si>
    <t>BRD_06480</t>
  </si>
  <si>
    <t>BRD_06840</t>
  </si>
  <si>
    <t>BRD_07200</t>
  </si>
  <si>
    <t>BRD_07560</t>
  </si>
  <si>
    <t>BRD_07920</t>
  </si>
  <si>
    <t>BRD_08280</t>
  </si>
  <si>
    <t>BRD_08640</t>
  </si>
  <si>
    <t>BRD_09000</t>
  </si>
  <si>
    <t>BRD_09360</t>
  </si>
  <si>
    <t>BRD_09720</t>
  </si>
  <si>
    <t>BRD_10080</t>
  </si>
  <si>
    <t>BRD_10440</t>
  </si>
  <si>
    <t>BRD_10800</t>
  </si>
  <si>
    <t>BRD_11160</t>
  </si>
  <si>
    <t>BRD_11520</t>
  </si>
  <si>
    <t>BRD_11880</t>
  </si>
  <si>
    <t>BRD_12240</t>
  </si>
  <si>
    <t>BRD_12600</t>
  </si>
  <si>
    <t>BRD_12960</t>
  </si>
  <si>
    <t>BRD_13320</t>
  </si>
  <si>
    <t>BRD_13680</t>
  </si>
  <si>
    <t>BRD_14040</t>
  </si>
  <si>
    <t>BRD_14400</t>
  </si>
  <si>
    <t>BRD_14760</t>
  </si>
  <si>
    <t>BRD_15120</t>
  </si>
  <si>
    <t>BRD_15480</t>
  </si>
  <si>
    <t>BRD_15840</t>
  </si>
  <si>
    <t>BRD_16200</t>
  </si>
  <si>
    <t>BRD_16560</t>
  </si>
  <si>
    <t>BRD_16920</t>
  </si>
  <si>
    <t>BRD_17280</t>
  </si>
  <si>
    <t>BRD_17640</t>
  </si>
  <si>
    <t>BRD_18000</t>
  </si>
  <si>
    <t>NZDUSDSpot</t>
  </si>
  <si>
    <t>USDBRLSpot</t>
  </si>
  <si>
    <t>USDCLPSpot</t>
  </si>
  <si>
    <t>USDCNHSpot</t>
  </si>
  <si>
    <t>USDMXNSpot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</si>
</sst>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;\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 applyAlignment="1">
      <alignment horizontal="center"/>
    </xf>
    <xf numFmtId="0" fontId="2" fillId="0" borderId="0" xfId="0" applyFont="1" applyBorder="1"/>
    <xf numFmtId="164" fontId="3" fillId="0" borderId="1" xfId="1" applyNumberFormat="1" applyFont="1" applyBorder="1" applyAlignment="1">
      <alignment horizontal="center"/>
    </xf>
    <xf numFmtId="0" fontId="2" fillId="2" borderId="0" xfId="0" applyFont="1" applyFill="1"/>
    <xf numFmtId="164" fontId="2" fillId="2" borderId="0" xfId="1" applyNumberFormat="1" applyFont="1" applyFill="1" applyAlignment="1">
      <alignment horizontal="center"/>
    </xf>
    <xf numFmtId="4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10" fontId="2" fillId="0" borderId="0" xfId="1" applyNumberFormat="1" applyFont="1"/>
    <xf numFmtId="10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A7B4-E901-495B-BDBC-039FA8326DB4}">
  <dimension ref="A1:F262"/>
  <sheetViews>
    <sheetView tabSelected="1" topLeftCell="A64" workbookViewId="0">
      <selection activeCell="D69" sqref="D69"/>
    </sheetView>
  </sheetViews>
  <sheetFormatPr defaultRowHeight="12" x14ac:dyDescent="0.2"/>
  <cols>
    <col min="1" max="1" width="16.7109375" style="1" bestFit="1" customWidth="1"/>
    <col min="2" max="2" width="9.140625" style="2"/>
    <col min="3" max="3" width="9.140625" style="1"/>
    <col min="4" max="4" width="11.7109375" style="1" customWidth="1"/>
    <col min="5" max="16384" width="9.140625" style="1"/>
  </cols>
  <sheetData>
    <row r="1" spans="1:2" x14ac:dyDescent="0.2">
      <c r="A1" s="3"/>
      <c r="B1" s="6" t="s">
        <v>0</v>
      </c>
    </row>
    <row r="2" spans="1:2" x14ac:dyDescent="0.2">
      <c r="A2" s="1" t="s">
        <v>1</v>
      </c>
      <c r="B2" s="2">
        <v>0</v>
      </c>
    </row>
    <row r="3" spans="1:2" x14ac:dyDescent="0.2">
      <c r="A3" s="1" t="s">
        <v>2</v>
      </c>
      <c r="B3" s="2">
        <v>0</v>
      </c>
    </row>
    <row r="4" spans="1:2" x14ac:dyDescent="0.2">
      <c r="A4" s="1" t="s">
        <v>3</v>
      </c>
      <c r="B4" s="2">
        <v>0</v>
      </c>
    </row>
    <row r="5" spans="1:2" x14ac:dyDescent="0.2">
      <c r="A5" s="1" t="s">
        <v>4</v>
      </c>
      <c r="B5" s="2">
        <v>0</v>
      </c>
    </row>
    <row r="6" spans="1:2" x14ac:dyDescent="0.2">
      <c r="A6" s="1" t="s">
        <v>5</v>
      </c>
      <c r="B6" s="2">
        <v>0</v>
      </c>
    </row>
    <row r="7" spans="1:2" x14ac:dyDescent="0.2">
      <c r="A7" s="1" t="s">
        <v>6</v>
      </c>
      <c r="B7" s="2">
        <v>0</v>
      </c>
    </row>
    <row r="8" spans="1:2" x14ac:dyDescent="0.2">
      <c r="A8" s="1" t="s">
        <v>7</v>
      </c>
      <c r="B8" s="2">
        <v>0</v>
      </c>
    </row>
    <row r="9" spans="1:2" x14ac:dyDescent="0.2">
      <c r="A9" s="1" t="s">
        <v>8</v>
      </c>
      <c r="B9" s="2">
        <v>0</v>
      </c>
    </row>
    <row r="10" spans="1:2" x14ac:dyDescent="0.2">
      <c r="A10" s="1" t="s">
        <v>9</v>
      </c>
      <c r="B10" s="2">
        <v>0</v>
      </c>
    </row>
    <row r="11" spans="1:2" x14ac:dyDescent="0.2">
      <c r="A11" s="1" t="s">
        <v>10</v>
      </c>
      <c r="B11" s="2">
        <v>0</v>
      </c>
    </row>
    <row r="12" spans="1:2" x14ac:dyDescent="0.2">
      <c r="A12" s="1" t="s">
        <v>11</v>
      </c>
      <c r="B12" s="2">
        <v>0</v>
      </c>
    </row>
    <row r="13" spans="1:2" x14ac:dyDescent="0.2">
      <c r="A13" s="1" t="s">
        <v>12</v>
      </c>
      <c r="B13" s="2">
        <v>0</v>
      </c>
    </row>
    <row r="14" spans="1:2" x14ac:dyDescent="0.2">
      <c r="A14" s="1" t="s">
        <v>13</v>
      </c>
      <c r="B14" s="2">
        <v>0</v>
      </c>
    </row>
    <row r="15" spans="1:2" x14ac:dyDescent="0.2">
      <c r="A15" s="1" t="s">
        <v>14</v>
      </c>
      <c r="B15" s="2">
        <v>0</v>
      </c>
    </row>
    <row r="16" spans="1:2" x14ac:dyDescent="0.2">
      <c r="A16" s="1" t="s">
        <v>15</v>
      </c>
      <c r="B16" s="2">
        <v>0</v>
      </c>
    </row>
    <row r="17" spans="1:2" x14ac:dyDescent="0.2">
      <c r="A17" s="1" t="s">
        <v>16</v>
      </c>
      <c r="B17" s="2">
        <v>0</v>
      </c>
    </row>
    <row r="18" spans="1:2" x14ac:dyDescent="0.2">
      <c r="A18" s="1" t="s">
        <v>17</v>
      </c>
      <c r="B18" s="2">
        <v>0</v>
      </c>
    </row>
    <row r="19" spans="1:2" x14ac:dyDescent="0.2">
      <c r="A19" s="1" t="s">
        <v>18</v>
      </c>
      <c r="B19" s="2">
        <v>0</v>
      </c>
    </row>
    <row r="20" spans="1:2" x14ac:dyDescent="0.2">
      <c r="A20" s="1" t="s">
        <v>19</v>
      </c>
      <c r="B20" s="2">
        <v>0</v>
      </c>
    </row>
    <row r="21" spans="1:2" x14ac:dyDescent="0.2">
      <c r="A21" s="1" t="s">
        <v>20</v>
      </c>
      <c r="B21" s="2">
        <v>0</v>
      </c>
    </row>
    <row r="22" spans="1:2" x14ac:dyDescent="0.2">
      <c r="A22" s="1" t="s">
        <v>21</v>
      </c>
      <c r="B22" s="2">
        <v>0</v>
      </c>
    </row>
    <row r="23" spans="1:2" x14ac:dyDescent="0.2">
      <c r="A23" s="1" t="s">
        <v>22</v>
      </c>
      <c r="B23" s="2">
        <v>0</v>
      </c>
    </row>
    <row r="24" spans="1:2" x14ac:dyDescent="0.2">
      <c r="A24" s="1" t="s">
        <v>23</v>
      </c>
      <c r="B24" s="2">
        <v>0</v>
      </c>
    </row>
    <row r="25" spans="1:2" x14ac:dyDescent="0.2">
      <c r="A25" s="1" t="s">
        <v>24</v>
      </c>
      <c r="B25" s="2">
        <v>0</v>
      </c>
    </row>
    <row r="26" spans="1:2" x14ac:dyDescent="0.2">
      <c r="A26" s="1" t="s">
        <v>25</v>
      </c>
      <c r="B26" s="2">
        <v>0</v>
      </c>
    </row>
    <row r="27" spans="1:2" x14ac:dyDescent="0.2">
      <c r="A27" s="1" t="s">
        <v>26</v>
      </c>
      <c r="B27" s="2">
        <v>0</v>
      </c>
    </row>
    <row r="28" spans="1:2" x14ac:dyDescent="0.2">
      <c r="A28" s="1" t="s">
        <v>27</v>
      </c>
      <c r="B28" s="2">
        <v>0</v>
      </c>
    </row>
    <row r="29" spans="1:2" x14ac:dyDescent="0.2">
      <c r="A29" s="1" t="s">
        <v>28</v>
      </c>
      <c r="B29" s="2">
        <v>0</v>
      </c>
    </row>
    <row r="30" spans="1:2" x14ac:dyDescent="0.2">
      <c r="A30" s="1" t="s">
        <v>29</v>
      </c>
      <c r="B30" s="2">
        <v>0</v>
      </c>
    </row>
    <row r="31" spans="1:2" x14ac:dyDescent="0.2">
      <c r="A31" s="1" t="s">
        <v>30</v>
      </c>
      <c r="B31" s="2">
        <v>0</v>
      </c>
    </row>
    <row r="32" spans="1:2" x14ac:dyDescent="0.2">
      <c r="A32" s="1" t="s">
        <v>31</v>
      </c>
      <c r="B32" s="2">
        <v>0</v>
      </c>
    </row>
    <row r="33" spans="1:2" x14ac:dyDescent="0.2">
      <c r="A33" s="1" t="s">
        <v>32</v>
      </c>
      <c r="B33" s="2">
        <v>0</v>
      </c>
    </row>
    <row r="34" spans="1:2" x14ac:dyDescent="0.2">
      <c r="A34" s="1" t="s">
        <v>33</v>
      </c>
      <c r="B34" s="2">
        <v>0</v>
      </c>
    </row>
    <row r="35" spans="1:2" x14ac:dyDescent="0.2">
      <c r="A35" s="1" t="s">
        <v>34</v>
      </c>
      <c r="B35" s="2">
        <v>0</v>
      </c>
    </row>
    <row r="36" spans="1:2" x14ac:dyDescent="0.2">
      <c r="A36" s="7" t="s">
        <v>35</v>
      </c>
      <c r="B36" s="8">
        <v>-0.15</v>
      </c>
    </row>
    <row r="37" spans="1:2" x14ac:dyDescent="0.2">
      <c r="A37" s="1" t="s">
        <v>36</v>
      </c>
      <c r="B37" s="2">
        <v>0</v>
      </c>
    </row>
    <row r="38" spans="1:2" x14ac:dyDescent="0.2">
      <c r="A38" s="1" t="s">
        <v>37</v>
      </c>
      <c r="B38" s="2">
        <v>0</v>
      </c>
    </row>
    <row r="39" spans="1:2" x14ac:dyDescent="0.2">
      <c r="A39" s="1" t="s">
        <v>38</v>
      </c>
      <c r="B39" s="2">
        <v>0</v>
      </c>
    </row>
    <row r="40" spans="1:2" x14ac:dyDescent="0.2">
      <c r="A40" s="1" t="s">
        <v>39</v>
      </c>
      <c r="B40" s="2">
        <v>0</v>
      </c>
    </row>
    <row r="41" spans="1:2" x14ac:dyDescent="0.2">
      <c r="A41" s="1" t="s">
        <v>40</v>
      </c>
      <c r="B41" s="2">
        <v>0</v>
      </c>
    </row>
    <row r="42" spans="1:2" x14ac:dyDescent="0.2">
      <c r="A42" s="1" t="s">
        <v>41</v>
      </c>
      <c r="B42" s="2">
        <v>0</v>
      </c>
    </row>
    <row r="43" spans="1:2" x14ac:dyDescent="0.2">
      <c r="A43" s="1" t="s">
        <v>42</v>
      </c>
      <c r="B43" s="2">
        <v>0</v>
      </c>
    </row>
    <row r="44" spans="1:2" x14ac:dyDescent="0.2">
      <c r="A44" s="1" t="s">
        <v>43</v>
      </c>
      <c r="B44" s="2">
        <v>0</v>
      </c>
    </row>
    <row r="45" spans="1:2" x14ac:dyDescent="0.2">
      <c r="A45" s="1" t="s">
        <v>44</v>
      </c>
      <c r="B45" s="2">
        <v>0</v>
      </c>
    </row>
    <row r="46" spans="1:2" x14ac:dyDescent="0.2">
      <c r="A46" s="1" t="s">
        <v>45</v>
      </c>
      <c r="B46" s="2">
        <v>0</v>
      </c>
    </row>
    <row r="47" spans="1:2" x14ac:dyDescent="0.2">
      <c r="A47" s="1" t="s">
        <v>46</v>
      </c>
      <c r="B47" s="2">
        <v>0</v>
      </c>
    </row>
    <row r="48" spans="1:2" x14ac:dyDescent="0.2">
      <c r="A48" s="1" t="s">
        <v>47</v>
      </c>
      <c r="B48" s="2">
        <v>0</v>
      </c>
    </row>
    <row r="49" spans="1:2" x14ac:dyDescent="0.2">
      <c r="A49" s="1" t="s">
        <v>48</v>
      </c>
      <c r="B49" s="2">
        <v>0</v>
      </c>
    </row>
    <row r="50" spans="1:2" x14ac:dyDescent="0.2">
      <c r="A50" s="1" t="s">
        <v>49</v>
      </c>
      <c r="B50" s="2">
        <v>0</v>
      </c>
    </row>
    <row r="51" spans="1:2" x14ac:dyDescent="0.2">
      <c r="A51" s="1" t="s">
        <v>50</v>
      </c>
      <c r="B51" s="2">
        <v>0</v>
      </c>
    </row>
    <row r="52" spans="1:2" x14ac:dyDescent="0.2">
      <c r="A52" s="1" t="s">
        <v>51</v>
      </c>
      <c r="B52" s="2">
        <v>0</v>
      </c>
    </row>
    <row r="53" spans="1:2" x14ac:dyDescent="0.2">
      <c r="A53" s="1" t="s">
        <v>52</v>
      </c>
      <c r="B53" s="2">
        <v>0</v>
      </c>
    </row>
    <row r="54" spans="1:2" x14ac:dyDescent="0.2">
      <c r="A54" s="1" t="s">
        <v>53</v>
      </c>
      <c r="B54" s="2">
        <v>0</v>
      </c>
    </row>
    <row r="55" spans="1:2" x14ac:dyDescent="0.2">
      <c r="A55" s="1" t="s">
        <v>54</v>
      </c>
      <c r="B55" s="2">
        <v>0</v>
      </c>
    </row>
    <row r="56" spans="1:2" x14ac:dyDescent="0.2">
      <c r="A56" s="1" t="s">
        <v>55</v>
      </c>
      <c r="B56" s="2">
        <v>0</v>
      </c>
    </row>
    <row r="57" spans="1:2" x14ac:dyDescent="0.2">
      <c r="A57" s="1" t="s">
        <v>56</v>
      </c>
      <c r="B57" s="2">
        <v>0</v>
      </c>
    </row>
    <row r="58" spans="1:2" x14ac:dyDescent="0.2">
      <c r="A58" s="1" t="s">
        <v>57</v>
      </c>
      <c r="B58" s="2">
        <v>0</v>
      </c>
    </row>
    <row r="59" spans="1:2" x14ac:dyDescent="0.2">
      <c r="A59" s="1" t="s">
        <v>58</v>
      </c>
      <c r="B59" s="2">
        <v>0</v>
      </c>
    </row>
    <row r="60" spans="1:2" x14ac:dyDescent="0.2">
      <c r="A60" s="1" t="s">
        <v>59</v>
      </c>
      <c r="B60" s="2">
        <v>0</v>
      </c>
    </row>
    <row r="61" spans="1:2" x14ac:dyDescent="0.2">
      <c r="A61" s="1" t="s">
        <v>60</v>
      </c>
      <c r="B61" s="2">
        <v>0</v>
      </c>
    </row>
    <row r="62" spans="1:2" x14ac:dyDescent="0.2">
      <c r="A62" s="1" t="s">
        <v>61</v>
      </c>
      <c r="B62" s="2">
        <v>0</v>
      </c>
    </row>
    <row r="63" spans="1:2" x14ac:dyDescent="0.2">
      <c r="A63" s="1" t="s">
        <v>62</v>
      </c>
      <c r="B63" s="2">
        <v>0</v>
      </c>
    </row>
    <row r="64" spans="1:2" x14ac:dyDescent="0.2">
      <c r="A64" s="1" t="s">
        <v>63</v>
      </c>
      <c r="B64" s="2">
        <v>0</v>
      </c>
    </row>
    <row r="65" spans="1:2" x14ac:dyDescent="0.2">
      <c r="A65" s="1" t="s">
        <v>64</v>
      </c>
      <c r="B65" s="2">
        <v>0</v>
      </c>
    </row>
    <row r="66" spans="1:2" x14ac:dyDescent="0.2">
      <c r="A66" s="1" t="s">
        <v>65</v>
      </c>
      <c r="B66" s="2">
        <v>0</v>
      </c>
    </row>
    <row r="67" spans="1:2" x14ac:dyDescent="0.2">
      <c r="A67" s="1" t="s">
        <v>66</v>
      </c>
      <c r="B67" s="2">
        <v>0</v>
      </c>
    </row>
    <row r="68" spans="1:2" x14ac:dyDescent="0.2">
      <c r="A68" s="1" t="s">
        <v>67</v>
      </c>
      <c r="B68" s="2">
        <v>0</v>
      </c>
    </row>
    <row r="69" spans="1:2" x14ac:dyDescent="0.2">
      <c r="A69" s="1" t="s">
        <v>68</v>
      </c>
      <c r="B69" s="2">
        <v>0</v>
      </c>
    </row>
    <row r="70" spans="1:2" x14ac:dyDescent="0.2">
      <c r="A70" s="1" t="s">
        <v>69</v>
      </c>
      <c r="B70" s="2">
        <v>0</v>
      </c>
    </row>
    <row r="71" spans="1:2" x14ac:dyDescent="0.2">
      <c r="A71" s="1" t="s">
        <v>70</v>
      </c>
      <c r="B71" s="2">
        <v>0</v>
      </c>
    </row>
    <row r="72" spans="1:2" x14ac:dyDescent="0.2">
      <c r="A72" s="1" t="s">
        <v>71</v>
      </c>
      <c r="B72" s="2">
        <v>0</v>
      </c>
    </row>
    <row r="73" spans="1:2" x14ac:dyDescent="0.2">
      <c r="A73" s="1" t="s">
        <v>72</v>
      </c>
      <c r="B73" s="2">
        <v>0</v>
      </c>
    </row>
    <row r="74" spans="1:2" x14ac:dyDescent="0.2">
      <c r="A74" s="1" t="s">
        <v>73</v>
      </c>
      <c r="B74" s="2">
        <v>0</v>
      </c>
    </row>
    <row r="75" spans="1:2" x14ac:dyDescent="0.2">
      <c r="A75" s="1" t="s">
        <v>74</v>
      </c>
      <c r="B75" s="2">
        <v>0</v>
      </c>
    </row>
    <row r="76" spans="1:2" x14ac:dyDescent="0.2">
      <c r="A76" s="1" t="s">
        <v>75</v>
      </c>
      <c r="B76" s="2">
        <v>0</v>
      </c>
    </row>
    <row r="77" spans="1:2" x14ac:dyDescent="0.2">
      <c r="A77" s="1" t="s">
        <v>76</v>
      </c>
      <c r="B77" s="2">
        <v>0</v>
      </c>
    </row>
    <row r="78" spans="1:2" x14ac:dyDescent="0.2">
      <c r="A78" s="1" t="s">
        <v>77</v>
      </c>
      <c r="B78" s="2">
        <v>0</v>
      </c>
    </row>
    <row r="79" spans="1:2" x14ac:dyDescent="0.2">
      <c r="A79" s="1" t="s">
        <v>78</v>
      </c>
      <c r="B79" s="2">
        <v>0</v>
      </c>
    </row>
    <row r="80" spans="1:2" x14ac:dyDescent="0.2">
      <c r="A80" s="3" t="s">
        <v>79</v>
      </c>
      <c r="B80" s="4">
        <v>0</v>
      </c>
    </row>
    <row r="81" spans="1:6" x14ac:dyDescent="0.2">
      <c r="A81" s="1" t="s">
        <v>80</v>
      </c>
      <c r="B81" s="2">
        <v>0</v>
      </c>
      <c r="C81" s="10">
        <f>_xlfn.NUMBERVALUE(RIGHT(A81,5))</f>
        <v>1</v>
      </c>
    </row>
    <row r="82" spans="1:6" x14ac:dyDescent="0.2">
      <c r="A82" s="1" t="s">
        <v>81</v>
      </c>
      <c r="B82" s="2">
        <f>(1+D82)^C82/(1+D82+E82)^C82-1</f>
        <v>-1.2800090586428947E-4</v>
      </c>
      <c r="C82" s="9">
        <f>_xlfn.NUMBERVALUE(RIGHT(A82,5))/360</f>
        <v>1.3888888888888888E-2</v>
      </c>
      <c r="D82" s="11">
        <v>0.08</v>
      </c>
      <c r="E82" s="14">
        <v>0.01</v>
      </c>
      <c r="F82" s="12">
        <f>(1+D82)^C82/(1+D82+E82)^C82-1</f>
        <v>-1.2800090586428947E-4</v>
      </c>
    </row>
    <row r="83" spans="1:6" x14ac:dyDescent="0.2">
      <c r="A83" s="1" t="s">
        <v>82</v>
      </c>
      <c r="B83" s="2">
        <f t="shared" ref="B83:B146" si="0">(1+D83)^C83/(1+D83+E83)^C83-1</f>
        <v>-7.6775971364795303E-4</v>
      </c>
      <c r="C83" s="9">
        <f t="shared" ref="C83:C146" si="1">_xlfn.NUMBERVALUE(RIGHT(A83,5))/360</f>
        <v>8.3333333333333329E-2</v>
      </c>
      <c r="D83" s="11">
        <v>0.08</v>
      </c>
      <c r="E83" s="14">
        <v>0.01</v>
      </c>
      <c r="F83" s="12">
        <f t="shared" ref="F83:F146" si="2">(1+D83)^C83/(1+D83+E83)^C83-1</f>
        <v>-7.6775971364795303E-4</v>
      </c>
    </row>
    <row r="84" spans="1:6" x14ac:dyDescent="0.2">
      <c r="A84" s="1" t="s">
        <v>83</v>
      </c>
      <c r="B84" s="2">
        <f t="shared" si="0"/>
        <v>-1.5349299723178556E-3</v>
      </c>
      <c r="C84" s="9">
        <f t="shared" si="1"/>
        <v>0.16666666666666666</v>
      </c>
      <c r="D84" s="11">
        <v>0.08</v>
      </c>
      <c r="E84" s="14">
        <v>0.01</v>
      </c>
      <c r="F84" s="12">
        <f t="shared" si="2"/>
        <v>-1.5349299723178556E-3</v>
      </c>
    </row>
    <row r="85" spans="1:6" x14ac:dyDescent="0.2">
      <c r="A85" s="1" t="s">
        <v>84</v>
      </c>
      <c r="B85" s="2">
        <f t="shared" si="0"/>
        <v>-2.3015112285698081E-3</v>
      </c>
      <c r="C85" s="9">
        <f t="shared" si="1"/>
        <v>0.25</v>
      </c>
      <c r="D85" s="11">
        <v>0.08</v>
      </c>
      <c r="E85" s="14">
        <v>0.01</v>
      </c>
      <c r="F85" s="12">
        <f t="shared" si="2"/>
        <v>-2.3015112285698081E-3</v>
      </c>
    </row>
    <row r="86" spans="1:6" x14ac:dyDescent="0.2">
      <c r="A86" s="1" t="s">
        <v>85</v>
      </c>
      <c r="B86" s="2">
        <f t="shared" si="0"/>
        <v>-4.597725503204142E-3</v>
      </c>
      <c r="C86" s="9">
        <f t="shared" si="1"/>
        <v>0.5</v>
      </c>
      <c r="D86" s="11">
        <v>0.08</v>
      </c>
      <c r="E86" s="14">
        <v>0.01</v>
      </c>
      <c r="F86" s="12">
        <f t="shared" si="2"/>
        <v>-4.597725503204142E-3</v>
      </c>
    </row>
    <row r="87" spans="1:6" x14ac:dyDescent="0.2">
      <c r="A87" s="1" t="s">
        <v>86</v>
      </c>
      <c r="B87" s="2">
        <f t="shared" si="0"/>
        <v>-6.8886550149023229E-3</v>
      </c>
      <c r="C87" s="9">
        <f t="shared" si="1"/>
        <v>0.75</v>
      </c>
      <c r="D87" s="11">
        <v>0.08</v>
      </c>
      <c r="E87" s="14">
        <v>0.01</v>
      </c>
      <c r="F87" s="12">
        <f t="shared" si="2"/>
        <v>-6.8886550149023229E-3</v>
      </c>
    </row>
    <row r="88" spans="1:6" x14ac:dyDescent="0.2">
      <c r="A88" s="1" t="s">
        <v>87</v>
      </c>
      <c r="B88" s="2">
        <f t="shared" si="0"/>
        <v>-9.1743119266055606E-3</v>
      </c>
      <c r="C88" s="9">
        <f t="shared" si="1"/>
        <v>1</v>
      </c>
      <c r="D88" s="11">
        <v>0.08</v>
      </c>
      <c r="E88" s="14">
        <v>0.01</v>
      </c>
      <c r="F88" s="12">
        <f t="shared" si="2"/>
        <v>-9.1743119266055606E-3</v>
      </c>
    </row>
    <row r="89" spans="1:6" x14ac:dyDescent="0.2">
      <c r="A89" s="1" t="s">
        <v>88</v>
      </c>
      <c r="B89" s="2">
        <f t="shared" si="0"/>
        <v>-1.37298564618904E-2</v>
      </c>
      <c r="C89" s="9">
        <f t="shared" si="1"/>
        <v>1.5</v>
      </c>
      <c r="D89" s="11">
        <v>0.08</v>
      </c>
      <c r="E89" s="14">
        <v>0.01</v>
      </c>
      <c r="F89" s="12">
        <f t="shared" si="2"/>
        <v>-1.37298564618904E-2</v>
      </c>
    </row>
    <row r="90" spans="1:6" x14ac:dyDescent="0.2">
      <c r="A90" s="1" t="s">
        <v>89</v>
      </c>
      <c r="B90" s="2">
        <f t="shared" si="0"/>
        <v>-1.8264455853884365E-2</v>
      </c>
      <c r="C90" s="9">
        <f t="shared" si="1"/>
        <v>2</v>
      </c>
      <c r="D90" s="11">
        <v>0.08</v>
      </c>
      <c r="E90" s="14">
        <v>0.01</v>
      </c>
      <c r="F90" s="12">
        <f t="shared" si="2"/>
        <v>-1.8264455853884365E-2</v>
      </c>
    </row>
    <row r="91" spans="1:6" x14ac:dyDescent="0.2">
      <c r="A91" s="1" t="s">
        <v>90</v>
      </c>
      <c r="B91" s="2">
        <f t="shared" si="0"/>
        <v>-2.2778206402606971E-2</v>
      </c>
      <c r="C91" s="9">
        <f t="shared" si="1"/>
        <v>2.5</v>
      </c>
      <c r="D91" s="11">
        <v>0.08</v>
      </c>
      <c r="E91" s="14">
        <v>0.01</v>
      </c>
      <c r="F91" s="12">
        <f t="shared" si="2"/>
        <v>-2.2778206402606971E-2</v>
      </c>
    </row>
    <row r="92" spans="1:6" x14ac:dyDescent="0.2">
      <c r="A92" s="1" t="s">
        <v>91</v>
      </c>
      <c r="B92" s="2">
        <f t="shared" si="0"/>
        <v>-2.7271203965316682E-2</v>
      </c>
      <c r="C92" s="9">
        <f t="shared" si="1"/>
        <v>3</v>
      </c>
      <c r="D92" s="11">
        <v>0.08</v>
      </c>
      <c r="E92" s="14">
        <v>0.01</v>
      </c>
      <c r="F92" s="12">
        <f t="shared" si="2"/>
        <v>-2.7271203965316682E-2</v>
      </c>
    </row>
    <row r="93" spans="1:6" x14ac:dyDescent="0.2">
      <c r="A93" s="1" t="s">
        <v>92</v>
      </c>
      <c r="B93" s="2">
        <f t="shared" si="0"/>
        <v>-3.619532136013015E-2</v>
      </c>
      <c r="C93" s="9">
        <f t="shared" si="1"/>
        <v>4</v>
      </c>
      <c r="D93" s="11">
        <v>0.08</v>
      </c>
      <c r="E93" s="14">
        <v>0.01</v>
      </c>
      <c r="F93" s="12">
        <f t="shared" si="2"/>
        <v>-3.619532136013015E-2</v>
      </c>
    </row>
    <row r="94" spans="1:6" x14ac:dyDescent="0.2">
      <c r="A94" s="1" t="s">
        <v>93</v>
      </c>
      <c r="B94" s="2">
        <f t="shared" si="0"/>
        <v>-4.5037566118294237E-2</v>
      </c>
      <c r="C94" s="9">
        <f t="shared" si="1"/>
        <v>5</v>
      </c>
      <c r="D94" s="11">
        <v>0.08</v>
      </c>
      <c r="E94" s="14">
        <v>0.01</v>
      </c>
      <c r="F94" s="12">
        <f t="shared" si="2"/>
        <v>-4.5037566118294237E-2</v>
      </c>
    </row>
    <row r="95" spans="1:6" x14ac:dyDescent="0.2">
      <c r="A95" s="1" t="s">
        <v>94</v>
      </c>
      <c r="B95" s="2">
        <f t="shared" si="0"/>
        <v>-5.3798689364915386E-2</v>
      </c>
      <c r="C95" s="9">
        <f t="shared" si="1"/>
        <v>6</v>
      </c>
      <c r="D95" s="11">
        <v>0.08</v>
      </c>
      <c r="E95" s="14">
        <v>0.01</v>
      </c>
      <c r="F95" s="12">
        <f t="shared" si="2"/>
        <v>-5.3798689364915386E-2</v>
      </c>
    </row>
    <row r="96" spans="1:6" x14ac:dyDescent="0.2">
      <c r="A96" s="1" t="s">
        <v>95</v>
      </c>
      <c r="B96" s="2">
        <f t="shared" si="0"/>
        <v>-6.2479435334044542E-2</v>
      </c>
      <c r="C96" s="9">
        <f t="shared" si="1"/>
        <v>7</v>
      </c>
      <c r="D96" s="11">
        <v>0.08</v>
      </c>
      <c r="E96" s="14">
        <v>0.01</v>
      </c>
      <c r="F96" s="12">
        <f t="shared" si="2"/>
        <v>-6.2479435334044542E-2</v>
      </c>
    </row>
    <row r="97" spans="1:6" x14ac:dyDescent="0.2">
      <c r="A97" s="1" t="s">
        <v>96</v>
      </c>
      <c r="B97" s="2">
        <f t="shared" si="0"/>
        <v>-7.1080541431897348E-2</v>
      </c>
      <c r="C97" s="9">
        <f t="shared" si="1"/>
        <v>8</v>
      </c>
      <c r="D97" s="11">
        <v>0.08</v>
      </c>
      <c r="E97" s="14">
        <v>0.01</v>
      </c>
      <c r="F97" s="12">
        <f t="shared" si="2"/>
        <v>-7.1080541431897348E-2</v>
      </c>
    </row>
    <row r="98" spans="1:6" x14ac:dyDescent="0.2">
      <c r="A98" s="1" t="s">
        <v>97</v>
      </c>
      <c r="B98" s="2">
        <f t="shared" si="0"/>
        <v>-7.9602738299494602E-2</v>
      </c>
      <c r="C98" s="9">
        <f t="shared" si="1"/>
        <v>9</v>
      </c>
      <c r="D98" s="11">
        <v>0.08</v>
      </c>
      <c r="E98" s="14">
        <v>0.01</v>
      </c>
      <c r="F98" s="12">
        <f t="shared" si="2"/>
        <v>-7.9602738299494602E-2</v>
      </c>
    </row>
    <row r="99" spans="1:6" x14ac:dyDescent="0.2">
      <c r="A99" s="1" t="s">
        <v>98</v>
      </c>
      <c r="B99" s="2">
        <f t="shared" si="0"/>
        <v>-8.8046749874728714E-2</v>
      </c>
      <c r="C99" s="9">
        <f t="shared" si="1"/>
        <v>10</v>
      </c>
      <c r="D99" s="11">
        <v>0.08</v>
      </c>
      <c r="E99" s="14">
        <v>0.01</v>
      </c>
      <c r="F99" s="12">
        <f t="shared" si="2"/>
        <v>-8.8046749874728714E-2</v>
      </c>
    </row>
    <row r="100" spans="1:6" x14ac:dyDescent="0.2">
      <c r="A100" s="1" t="s">
        <v>99</v>
      </c>
      <c r="B100" s="2">
        <f t="shared" si="0"/>
        <v>-9.6413293453859628E-2</v>
      </c>
      <c r="C100" s="9">
        <f t="shared" si="1"/>
        <v>11</v>
      </c>
      <c r="D100" s="11">
        <v>0.08</v>
      </c>
      <c r="E100" s="14">
        <v>0.01</v>
      </c>
      <c r="F100" s="12">
        <f t="shared" si="2"/>
        <v>-9.6413293453859628E-2</v>
      </c>
    </row>
    <row r="101" spans="1:6" x14ac:dyDescent="0.2">
      <c r="A101" s="1" t="s">
        <v>100</v>
      </c>
      <c r="B101" s="2">
        <f t="shared" si="0"/>
        <v>-0.10470307975244797</v>
      </c>
      <c r="C101" s="9">
        <f t="shared" si="1"/>
        <v>12</v>
      </c>
      <c r="D101" s="11">
        <v>0.08</v>
      </c>
      <c r="E101" s="14">
        <v>0.01</v>
      </c>
      <c r="F101" s="12">
        <f t="shared" si="2"/>
        <v>-0.10470307975244797</v>
      </c>
    </row>
    <row r="102" spans="1:6" x14ac:dyDescent="0.2">
      <c r="A102" s="1" t="s">
        <v>101</v>
      </c>
      <c r="B102" s="2">
        <f t="shared" si="0"/>
        <v>-0.11291681296572842</v>
      </c>
      <c r="C102" s="9">
        <f t="shared" si="1"/>
        <v>13</v>
      </c>
      <c r="D102" s="11">
        <v>0.08</v>
      </c>
      <c r="E102" s="14">
        <v>0.01</v>
      </c>
      <c r="F102" s="12">
        <f t="shared" si="2"/>
        <v>-0.11291681296572842</v>
      </c>
    </row>
    <row r="103" spans="1:6" x14ac:dyDescent="0.2">
      <c r="A103" s="1" t="s">
        <v>102</v>
      </c>
      <c r="B103" s="2">
        <f t="shared" si="0"/>
        <v>-0.12105519082842808</v>
      </c>
      <c r="C103" s="9">
        <f t="shared" si="1"/>
        <v>14</v>
      </c>
      <c r="D103" s="11">
        <v>0.08</v>
      </c>
      <c r="E103" s="14">
        <v>0.01</v>
      </c>
      <c r="F103" s="12">
        <f t="shared" si="2"/>
        <v>-0.12105519082842808</v>
      </c>
    </row>
    <row r="104" spans="1:6" x14ac:dyDescent="0.2">
      <c r="A104" s="1" t="s">
        <v>103</v>
      </c>
      <c r="B104" s="2">
        <f t="shared" si="0"/>
        <v>-0.12911890467403875</v>
      </c>
      <c r="C104" s="9">
        <f t="shared" si="1"/>
        <v>15</v>
      </c>
      <c r="D104" s="11">
        <v>0.08</v>
      </c>
      <c r="E104" s="14">
        <v>0.01</v>
      </c>
      <c r="F104" s="12">
        <f t="shared" si="2"/>
        <v>-0.12911890467403875</v>
      </c>
    </row>
    <row r="105" spans="1:6" x14ac:dyDescent="0.2">
      <c r="A105" s="1" t="s">
        <v>104</v>
      </c>
      <c r="B105" s="2">
        <f t="shared" si="0"/>
        <v>-0.13710863949354302</v>
      </c>
      <c r="C105" s="9">
        <f t="shared" si="1"/>
        <v>16</v>
      </c>
      <c r="D105" s="11">
        <v>0.08</v>
      </c>
      <c r="E105" s="14">
        <v>0.01</v>
      </c>
      <c r="F105" s="12">
        <f t="shared" si="2"/>
        <v>-0.13710863949354302</v>
      </c>
    </row>
    <row r="106" spans="1:6" x14ac:dyDescent="0.2">
      <c r="A106" s="1" t="s">
        <v>105</v>
      </c>
      <c r="B106" s="2">
        <f t="shared" si="0"/>
        <v>-0.14502507399360232</v>
      </c>
      <c r="C106" s="9">
        <f t="shared" si="1"/>
        <v>17</v>
      </c>
      <c r="D106" s="11">
        <v>0.08</v>
      </c>
      <c r="E106" s="14">
        <v>0.01</v>
      </c>
      <c r="F106" s="12">
        <f t="shared" si="2"/>
        <v>-0.14502507399360232</v>
      </c>
    </row>
    <row r="107" spans="1:6" x14ac:dyDescent="0.2">
      <c r="A107" s="1" t="s">
        <v>106</v>
      </c>
      <c r="B107" s="2">
        <f t="shared" si="0"/>
        <v>-0.15286888065421145</v>
      </c>
      <c r="C107" s="9">
        <f t="shared" si="1"/>
        <v>18</v>
      </c>
      <c r="D107" s="11">
        <v>0.08</v>
      </c>
      <c r="E107" s="14">
        <v>0.01</v>
      </c>
      <c r="F107" s="12">
        <f t="shared" si="2"/>
        <v>-0.15286888065421145</v>
      </c>
    </row>
    <row r="108" spans="1:6" x14ac:dyDescent="0.2">
      <c r="A108" s="1" t="s">
        <v>107</v>
      </c>
      <c r="B108" s="2">
        <f t="shared" si="0"/>
        <v>-0.16064072578582422</v>
      </c>
      <c r="C108" s="9">
        <f t="shared" si="1"/>
        <v>19</v>
      </c>
      <c r="D108" s="11">
        <v>0.08</v>
      </c>
      <c r="E108" s="14">
        <v>0.01</v>
      </c>
      <c r="F108" s="12">
        <f t="shared" si="2"/>
        <v>-0.16064072578582422</v>
      </c>
    </row>
    <row r="109" spans="1:6" x14ac:dyDescent="0.2">
      <c r="A109" s="1" t="s">
        <v>108</v>
      </c>
      <c r="B109" s="2">
        <f t="shared" si="0"/>
        <v>-0.16834126958595419</v>
      </c>
      <c r="C109" s="9">
        <f t="shared" si="1"/>
        <v>20</v>
      </c>
      <c r="D109" s="11">
        <v>0.08</v>
      </c>
      <c r="E109" s="14">
        <v>0.01</v>
      </c>
      <c r="F109" s="12">
        <f t="shared" si="2"/>
        <v>-0.16834126958595419</v>
      </c>
    </row>
    <row r="110" spans="1:6" x14ac:dyDescent="0.2">
      <c r="A110" s="1" t="s">
        <v>109</v>
      </c>
      <c r="B110" s="2">
        <f t="shared" si="0"/>
        <v>-0.17597116619525754</v>
      </c>
      <c r="C110" s="9">
        <f t="shared" si="1"/>
        <v>21</v>
      </c>
      <c r="D110" s="11">
        <v>0.08</v>
      </c>
      <c r="E110" s="14">
        <v>0.01</v>
      </c>
      <c r="F110" s="12">
        <f t="shared" si="2"/>
        <v>-0.17597116619525754</v>
      </c>
    </row>
    <row r="111" spans="1:6" x14ac:dyDescent="0.2">
      <c r="A111" s="1" t="s">
        <v>110</v>
      </c>
      <c r="B111" s="2">
        <f t="shared" si="0"/>
        <v>-0.18353106375309913</v>
      </c>
      <c r="C111" s="9">
        <f t="shared" si="1"/>
        <v>22</v>
      </c>
      <c r="D111" s="11">
        <v>0.08</v>
      </c>
      <c r="E111" s="14">
        <v>0.01</v>
      </c>
      <c r="F111" s="12">
        <f t="shared" si="2"/>
        <v>-0.18353106375309913</v>
      </c>
    </row>
    <row r="112" spans="1:6" x14ac:dyDescent="0.2">
      <c r="A112" s="1" t="s">
        <v>111</v>
      </c>
      <c r="B112" s="2">
        <f t="shared" si="0"/>
        <v>-0.19102160445261196</v>
      </c>
      <c r="C112" s="9">
        <f t="shared" si="1"/>
        <v>23</v>
      </c>
      <c r="D112" s="11">
        <v>0.08</v>
      </c>
      <c r="E112" s="14">
        <v>0.01</v>
      </c>
      <c r="F112" s="12">
        <f t="shared" si="2"/>
        <v>-0.19102160445261196</v>
      </c>
    </row>
    <row r="113" spans="1:6" x14ac:dyDescent="0.2">
      <c r="A113" s="1" t="s">
        <v>112</v>
      </c>
      <c r="B113" s="2">
        <f t="shared" si="0"/>
        <v>-0.19844342459524855</v>
      </c>
      <c r="C113" s="9">
        <f t="shared" si="1"/>
        <v>24</v>
      </c>
      <c r="D113" s="11">
        <v>0.08</v>
      </c>
      <c r="E113" s="14">
        <v>0.01</v>
      </c>
      <c r="F113" s="12">
        <f t="shared" si="2"/>
        <v>-0.19844342459524855</v>
      </c>
    </row>
    <row r="114" spans="1:6" x14ac:dyDescent="0.2">
      <c r="A114" s="1" t="s">
        <v>113</v>
      </c>
      <c r="B114" s="2">
        <f t="shared" si="0"/>
        <v>-0.20579715464483339</v>
      </c>
      <c r="C114" s="9">
        <f t="shared" si="1"/>
        <v>25</v>
      </c>
      <c r="D114" s="11">
        <v>0.08</v>
      </c>
      <c r="E114" s="14">
        <v>0.01</v>
      </c>
      <c r="F114" s="12">
        <f t="shared" si="2"/>
        <v>-0.20579715464483339</v>
      </c>
    </row>
    <row r="115" spans="1:6" x14ac:dyDescent="0.2">
      <c r="A115" s="1" t="s">
        <v>114</v>
      </c>
      <c r="B115" s="2">
        <f t="shared" si="0"/>
        <v>-0.21308341928111951</v>
      </c>
      <c r="C115" s="9">
        <f t="shared" si="1"/>
        <v>26</v>
      </c>
      <c r="D115" s="11">
        <v>0.08</v>
      </c>
      <c r="E115" s="14">
        <v>0.01</v>
      </c>
      <c r="F115" s="12">
        <f t="shared" si="2"/>
        <v>-0.21308341928111951</v>
      </c>
    </row>
    <row r="116" spans="1:6" x14ac:dyDescent="0.2">
      <c r="A116" s="1" t="s">
        <v>115</v>
      </c>
      <c r="B116" s="2">
        <f t="shared" si="0"/>
        <v>-0.22030283745285228</v>
      </c>
      <c r="C116" s="9">
        <f t="shared" si="1"/>
        <v>27</v>
      </c>
      <c r="D116" s="11">
        <v>0.08</v>
      </c>
      <c r="E116" s="14">
        <v>0.01</v>
      </c>
      <c r="F116" s="12">
        <f t="shared" si="2"/>
        <v>-0.22030283745285228</v>
      </c>
    </row>
    <row r="117" spans="1:6" x14ac:dyDescent="0.2">
      <c r="A117" s="1" t="s">
        <v>116</v>
      </c>
      <c r="B117" s="2">
        <f t="shared" si="0"/>
        <v>-0.22745602243034901</v>
      </c>
      <c r="C117" s="9">
        <f t="shared" si="1"/>
        <v>28</v>
      </c>
      <c r="D117" s="11">
        <v>0.08</v>
      </c>
      <c r="E117" s="14">
        <v>0.01</v>
      </c>
      <c r="F117" s="12">
        <f t="shared" si="2"/>
        <v>-0.22745602243034901</v>
      </c>
    </row>
    <row r="118" spans="1:6" x14ac:dyDescent="0.2">
      <c r="A118" s="1" t="s">
        <v>117</v>
      </c>
      <c r="B118" s="2">
        <f t="shared" si="0"/>
        <v>-0.23454358185759361</v>
      </c>
      <c r="C118" s="9">
        <f t="shared" si="1"/>
        <v>29</v>
      </c>
      <c r="D118" s="11">
        <v>0.08</v>
      </c>
      <c r="E118" s="14">
        <v>0.01</v>
      </c>
      <c r="F118" s="12">
        <f t="shared" si="2"/>
        <v>-0.23454358185759361</v>
      </c>
    </row>
    <row r="119" spans="1:6" x14ac:dyDescent="0.2">
      <c r="A119" s="1" t="s">
        <v>118</v>
      </c>
      <c r="B119" s="2">
        <f t="shared" si="0"/>
        <v>-0.24156611780385417</v>
      </c>
      <c r="C119" s="9">
        <f t="shared" si="1"/>
        <v>30</v>
      </c>
      <c r="D119" s="11">
        <v>0.08</v>
      </c>
      <c r="E119" s="14">
        <v>0.01</v>
      </c>
      <c r="F119" s="12">
        <f t="shared" si="2"/>
        <v>-0.24156611780385417</v>
      </c>
    </row>
    <row r="120" spans="1:6" x14ac:dyDescent="0.2">
      <c r="A120" s="1" t="s">
        <v>119</v>
      </c>
      <c r="B120" s="2">
        <f t="shared" si="0"/>
        <v>-0.24852422681482789</v>
      </c>
      <c r="C120" s="9">
        <f t="shared" si="1"/>
        <v>31</v>
      </c>
      <c r="D120" s="11">
        <v>0.08</v>
      </c>
      <c r="E120" s="14">
        <v>0.01</v>
      </c>
      <c r="F120" s="12">
        <f t="shared" si="2"/>
        <v>-0.24852422681482789</v>
      </c>
    </row>
    <row r="121" spans="1:6" x14ac:dyDescent="0.2">
      <c r="A121" s="1" t="s">
        <v>120</v>
      </c>
      <c r="B121" s="2">
        <f t="shared" si="0"/>
        <v>-0.25541849996331567</v>
      </c>
      <c r="C121" s="9">
        <f t="shared" si="1"/>
        <v>32</v>
      </c>
      <c r="D121" s="11">
        <v>0.08</v>
      </c>
      <c r="E121" s="14">
        <v>0.01</v>
      </c>
      <c r="F121" s="12">
        <f t="shared" si="2"/>
        <v>-0.25541849996331567</v>
      </c>
    </row>
    <row r="122" spans="1:6" x14ac:dyDescent="0.2">
      <c r="A122" s="1" t="s">
        <v>121</v>
      </c>
      <c r="B122" s="2">
        <f t="shared" si="0"/>
        <v>-0.26224952289943215</v>
      </c>
      <c r="C122" s="9">
        <f t="shared" si="1"/>
        <v>33</v>
      </c>
      <c r="D122" s="11">
        <v>0.08</v>
      </c>
      <c r="E122" s="14">
        <v>0.01</v>
      </c>
      <c r="F122" s="12">
        <f t="shared" si="2"/>
        <v>-0.26224952289943215</v>
      </c>
    </row>
    <row r="123" spans="1:6" x14ac:dyDescent="0.2">
      <c r="A123" s="1" t="s">
        <v>122</v>
      </c>
      <c r="B123" s="2">
        <f t="shared" si="0"/>
        <v>-0.26901787590035486</v>
      </c>
      <c r="C123" s="9">
        <f t="shared" si="1"/>
        <v>34</v>
      </c>
      <c r="D123" s="11">
        <v>0.08</v>
      </c>
      <c r="E123" s="14">
        <v>0.01</v>
      </c>
      <c r="F123" s="12">
        <f t="shared" si="2"/>
        <v>-0.26901787590035486</v>
      </c>
    </row>
    <row r="124" spans="1:6" x14ac:dyDescent="0.2">
      <c r="A124" s="1" t="s">
        <v>123</v>
      </c>
      <c r="B124" s="2">
        <f t="shared" si="0"/>
        <v>-0.27572413391961759</v>
      </c>
      <c r="C124" s="9">
        <f t="shared" si="1"/>
        <v>35</v>
      </c>
      <c r="D124" s="11">
        <v>0.08</v>
      </c>
      <c r="E124" s="14">
        <v>0.01</v>
      </c>
      <c r="F124" s="12">
        <f t="shared" si="2"/>
        <v>-0.27572413391961759</v>
      </c>
    </row>
    <row r="125" spans="1:6" x14ac:dyDescent="0.2">
      <c r="A125" s="1" t="s">
        <v>124</v>
      </c>
      <c r="B125" s="2">
        <f t="shared" si="0"/>
        <v>-0.28236886663595129</v>
      </c>
      <c r="C125" s="9">
        <f t="shared" si="1"/>
        <v>36</v>
      </c>
      <c r="D125" s="11">
        <v>0.08</v>
      </c>
      <c r="E125" s="14">
        <v>0.01</v>
      </c>
      <c r="F125" s="12">
        <f t="shared" si="2"/>
        <v>-0.28236886663595129</v>
      </c>
    </row>
    <row r="126" spans="1:6" x14ac:dyDescent="0.2">
      <c r="A126" s="1" t="s">
        <v>125</v>
      </c>
      <c r="B126" s="2">
        <f t="shared" si="0"/>
        <v>-0.28895263850167652</v>
      </c>
      <c r="C126" s="9">
        <f t="shared" si="1"/>
        <v>37</v>
      </c>
      <c r="D126" s="11">
        <v>0.08</v>
      </c>
      <c r="E126" s="14">
        <v>0.01</v>
      </c>
      <c r="F126" s="12">
        <f t="shared" si="2"/>
        <v>-0.28895263850167652</v>
      </c>
    </row>
    <row r="127" spans="1:6" x14ac:dyDescent="0.2">
      <c r="A127" s="1" t="s">
        <v>126</v>
      </c>
      <c r="B127" s="2">
        <f t="shared" si="0"/>
        <v>-0.29547600879065195</v>
      </c>
      <c r="C127" s="9">
        <f t="shared" si="1"/>
        <v>38</v>
      </c>
      <c r="D127" s="11">
        <v>0.08</v>
      </c>
      <c r="E127" s="14">
        <v>0.01</v>
      </c>
      <c r="F127" s="12">
        <f t="shared" si="2"/>
        <v>-0.29547600879065195</v>
      </c>
    </row>
    <row r="128" spans="1:6" x14ac:dyDescent="0.2">
      <c r="A128" s="1" t="s">
        <v>127</v>
      </c>
      <c r="B128" s="2">
        <f t="shared" si="0"/>
        <v>-0.30193953164578358</v>
      </c>
      <c r="C128" s="9">
        <f t="shared" si="1"/>
        <v>39</v>
      </c>
      <c r="D128" s="11">
        <v>0.08</v>
      </c>
      <c r="E128" s="14">
        <v>0.01</v>
      </c>
      <c r="F128" s="12">
        <f t="shared" si="2"/>
        <v>-0.30193953164578358</v>
      </c>
    </row>
    <row r="129" spans="1:6" x14ac:dyDescent="0.2">
      <c r="A129" s="1" t="s">
        <v>128</v>
      </c>
      <c r="B129" s="2">
        <f t="shared" si="0"/>
        <v>-0.30834375612609755</v>
      </c>
      <c r="C129" s="9">
        <f t="shared" si="1"/>
        <v>40</v>
      </c>
      <c r="D129" s="11">
        <v>0.08</v>
      </c>
      <c r="E129" s="14">
        <v>0.01</v>
      </c>
      <c r="F129" s="12">
        <f t="shared" si="2"/>
        <v>-0.30834375612609755</v>
      </c>
    </row>
    <row r="130" spans="1:6" x14ac:dyDescent="0.2">
      <c r="A130" s="1" t="s">
        <v>129</v>
      </c>
      <c r="B130" s="2">
        <f t="shared" si="0"/>
        <v>-0.31468922625338103</v>
      </c>
      <c r="C130" s="9">
        <f t="shared" si="1"/>
        <v>41</v>
      </c>
      <c r="D130" s="11">
        <v>0.08</v>
      </c>
      <c r="E130" s="14">
        <v>0.01</v>
      </c>
      <c r="F130" s="12">
        <f t="shared" si="2"/>
        <v>-0.31468922625338103</v>
      </c>
    </row>
    <row r="131" spans="1:6" x14ac:dyDescent="0.2">
      <c r="A131" s="1" t="s">
        <v>130</v>
      </c>
      <c r="B131" s="2">
        <f t="shared" si="0"/>
        <v>-0.32097648105839593</v>
      </c>
      <c r="C131" s="9">
        <f t="shared" si="1"/>
        <v>42</v>
      </c>
      <c r="D131" s="11">
        <v>0.08</v>
      </c>
      <c r="E131" s="14">
        <v>0.01</v>
      </c>
      <c r="F131" s="12">
        <f t="shared" si="2"/>
        <v>-0.32097648105839593</v>
      </c>
    </row>
    <row r="132" spans="1:6" x14ac:dyDescent="0.2">
      <c r="A132" s="1" t="s">
        <v>131</v>
      </c>
      <c r="B132" s="2">
        <f t="shared" si="0"/>
        <v>-0.32720605462666763</v>
      </c>
      <c r="C132" s="9">
        <f t="shared" si="1"/>
        <v>43</v>
      </c>
      <c r="D132" s="11">
        <v>0.08</v>
      </c>
      <c r="E132" s="14">
        <v>0.01</v>
      </c>
      <c r="F132" s="12">
        <f t="shared" si="2"/>
        <v>-0.32720605462666763</v>
      </c>
    </row>
    <row r="133" spans="1:6" x14ac:dyDescent="0.2">
      <c r="A133" s="1" t="s">
        <v>132</v>
      </c>
      <c r="B133" s="2">
        <f t="shared" si="0"/>
        <v>-0.33337847614385396</v>
      </c>
      <c r="C133" s="9">
        <f t="shared" si="1"/>
        <v>44</v>
      </c>
      <c r="D133" s="11">
        <v>0.08</v>
      </c>
      <c r="E133" s="14">
        <v>0.01</v>
      </c>
      <c r="F133" s="12">
        <f t="shared" si="2"/>
        <v>-0.33337847614385396</v>
      </c>
    </row>
    <row r="134" spans="1:6" x14ac:dyDescent="0.2">
      <c r="A134" s="1" t="s">
        <v>133</v>
      </c>
      <c r="B134" s="2">
        <f t="shared" si="0"/>
        <v>-0.33949426994069953</v>
      </c>
      <c r="C134" s="9">
        <f t="shared" si="1"/>
        <v>45</v>
      </c>
      <c r="D134" s="11">
        <v>0.08</v>
      </c>
      <c r="E134" s="14">
        <v>0.01</v>
      </c>
      <c r="F134" s="12">
        <f t="shared" si="2"/>
        <v>-0.33949426994069953</v>
      </c>
    </row>
    <row r="135" spans="1:6" x14ac:dyDescent="0.2">
      <c r="A135" s="1" t="s">
        <v>134</v>
      </c>
      <c r="B135" s="2">
        <f t="shared" si="0"/>
        <v>-0.34555395553757373</v>
      </c>
      <c r="C135" s="9">
        <f t="shared" si="1"/>
        <v>46</v>
      </c>
      <c r="D135" s="11">
        <v>0.08</v>
      </c>
      <c r="E135" s="14">
        <v>0.01</v>
      </c>
      <c r="F135" s="12">
        <f t="shared" si="2"/>
        <v>-0.34555395553757373</v>
      </c>
    </row>
    <row r="136" spans="1:6" x14ac:dyDescent="0.2">
      <c r="A136" s="1" t="s">
        <v>135</v>
      </c>
      <c r="B136" s="2">
        <f t="shared" si="0"/>
        <v>-0.3515580476886051</v>
      </c>
      <c r="C136" s="9">
        <f t="shared" si="1"/>
        <v>47</v>
      </c>
      <c r="D136" s="11">
        <v>0.08</v>
      </c>
      <c r="E136" s="14">
        <v>0.01</v>
      </c>
      <c r="F136" s="12">
        <f t="shared" si="2"/>
        <v>-0.3515580476886051</v>
      </c>
    </row>
    <row r="137" spans="1:6" x14ac:dyDescent="0.2">
      <c r="A137" s="1" t="s">
        <v>136</v>
      </c>
      <c r="B137" s="2">
        <f t="shared" si="0"/>
        <v>-0.35750705642540703</v>
      </c>
      <c r="C137" s="9">
        <f t="shared" si="1"/>
        <v>48</v>
      </c>
      <c r="D137" s="11">
        <v>0.08</v>
      </c>
      <c r="E137" s="14">
        <v>0.01</v>
      </c>
      <c r="F137" s="12">
        <f t="shared" si="2"/>
        <v>-0.35750705642540703</v>
      </c>
    </row>
    <row r="138" spans="1:6" x14ac:dyDescent="0.2">
      <c r="A138" s="5" t="s">
        <v>137</v>
      </c>
      <c r="B138" s="2">
        <f t="shared" si="0"/>
        <v>-0.36340148710040321</v>
      </c>
      <c r="C138" s="9">
        <f t="shared" si="1"/>
        <v>49</v>
      </c>
      <c r="D138" s="11">
        <v>0.08</v>
      </c>
      <c r="E138" s="14">
        <v>0.01</v>
      </c>
      <c r="F138" s="12">
        <f t="shared" si="2"/>
        <v>-0.36340148710040321</v>
      </c>
    </row>
    <row r="139" spans="1:6" x14ac:dyDescent="0.2">
      <c r="A139" s="3" t="s">
        <v>138</v>
      </c>
      <c r="B139" s="2">
        <f t="shared" si="0"/>
        <v>-0.36924184042975738</v>
      </c>
      <c r="C139" s="9">
        <f t="shared" si="1"/>
        <v>50</v>
      </c>
      <c r="D139" s="11">
        <v>0.08</v>
      </c>
      <c r="E139" s="14">
        <v>0.01</v>
      </c>
      <c r="F139" s="12">
        <f t="shared" si="2"/>
        <v>-0.36924184042975738</v>
      </c>
    </row>
    <row r="140" spans="1:6" x14ac:dyDescent="0.2">
      <c r="A140" s="1" t="s">
        <v>139</v>
      </c>
      <c r="B140" s="2">
        <f t="shared" si="0"/>
        <v>-1.3322611985278066E-5</v>
      </c>
      <c r="C140" s="9">
        <f t="shared" si="1"/>
        <v>2.7777777777777779E-3</v>
      </c>
      <c r="D140" s="11">
        <v>0.04</v>
      </c>
      <c r="E140" s="14">
        <v>5.0000000000000001E-3</v>
      </c>
      <c r="F140" s="12">
        <f t="shared" si="2"/>
        <v>-1.3322611985278066E-5</v>
      </c>
    </row>
    <row r="141" spans="1:6" x14ac:dyDescent="0.2">
      <c r="A141" s="1" t="s">
        <v>140</v>
      </c>
      <c r="B141" s="2">
        <f t="shared" si="0"/>
        <v>-6.661128502927216E-5</v>
      </c>
      <c r="C141" s="9">
        <f t="shared" si="1"/>
        <v>1.3888888888888888E-2</v>
      </c>
      <c r="D141" s="11">
        <v>0.04</v>
      </c>
      <c r="E141" s="14">
        <v>5.0000000000000001E-3</v>
      </c>
      <c r="F141" s="12">
        <f t="shared" si="2"/>
        <v>-6.661128502927216E-5</v>
      </c>
    </row>
    <row r="142" spans="1:6" x14ac:dyDescent="0.2">
      <c r="A142" s="1" t="s">
        <v>141</v>
      </c>
      <c r="B142" s="2">
        <f t="shared" si="0"/>
        <v>-3.9960116013826319E-4</v>
      </c>
      <c r="C142" s="9">
        <f t="shared" si="1"/>
        <v>8.3333333333333329E-2</v>
      </c>
      <c r="D142" s="11">
        <v>0.04</v>
      </c>
      <c r="E142" s="14">
        <v>5.0000000000000001E-3</v>
      </c>
      <c r="F142" s="12">
        <f t="shared" si="2"/>
        <v>-3.9960116013826319E-4</v>
      </c>
    </row>
    <row r="143" spans="1:6" x14ac:dyDescent="0.2">
      <c r="A143" s="1" t="s">
        <v>142</v>
      </c>
      <c r="B143" s="2">
        <f t="shared" si="0"/>
        <v>-7.9904263918917362E-4</v>
      </c>
      <c r="C143" s="9">
        <f t="shared" si="1"/>
        <v>0.16666666666666666</v>
      </c>
      <c r="D143" s="11">
        <v>0.04</v>
      </c>
      <c r="E143" s="14">
        <v>5.0000000000000001E-3</v>
      </c>
      <c r="F143" s="12">
        <f t="shared" si="2"/>
        <v>-7.9904263918917362E-4</v>
      </c>
    </row>
    <row r="144" spans="1:6" x14ac:dyDescent="0.2">
      <c r="A144" s="1" t="s">
        <v>143</v>
      </c>
      <c r="B144" s="2">
        <f t="shared" si="0"/>
        <v>-1.1983245009618004E-3</v>
      </c>
      <c r="C144" s="9">
        <f t="shared" si="1"/>
        <v>0.25</v>
      </c>
      <c r="D144" s="11">
        <v>0.04</v>
      </c>
      <c r="E144" s="14">
        <v>5.0000000000000001E-3</v>
      </c>
      <c r="F144" s="12">
        <f t="shared" si="2"/>
        <v>-1.1983245009618004E-3</v>
      </c>
    </row>
    <row r="145" spans="1:6" x14ac:dyDescent="0.2">
      <c r="A145" s="1" t="s">
        <v>144</v>
      </c>
      <c r="B145" s="2">
        <f t="shared" si="0"/>
        <v>-2.3952130203139799E-3</v>
      </c>
      <c r="C145" s="9">
        <f t="shared" si="1"/>
        <v>0.5</v>
      </c>
      <c r="D145" s="11">
        <v>0.04</v>
      </c>
      <c r="E145" s="14">
        <v>5.0000000000000001E-3</v>
      </c>
      <c r="F145" s="12">
        <f t="shared" si="2"/>
        <v>-2.3952130203139799E-3</v>
      </c>
    </row>
    <row r="146" spans="1:6" x14ac:dyDescent="0.2">
      <c r="A146" s="1" t="s">
        <v>145</v>
      </c>
      <c r="B146" s="2">
        <f t="shared" si="0"/>
        <v>-3.5906672788283966E-3</v>
      </c>
      <c r="C146" s="9">
        <f t="shared" si="1"/>
        <v>0.75</v>
      </c>
      <c r="D146" s="11">
        <v>0.04</v>
      </c>
      <c r="E146" s="14">
        <v>5.0000000000000001E-3</v>
      </c>
      <c r="F146" s="12">
        <f t="shared" si="2"/>
        <v>-3.5906672788283966E-3</v>
      </c>
    </row>
    <row r="147" spans="1:6" x14ac:dyDescent="0.2">
      <c r="A147" s="1" t="s">
        <v>146</v>
      </c>
      <c r="B147" s="2">
        <f t="shared" ref="B147:B198" si="3">(1+D147)^C147/(1+D147+E147)^C147-1</f>
        <v>-4.7846889952152249E-3</v>
      </c>
      <c r="C147" s="9">
        <f t="shared" ref="C147:C210" si="4">_xlfn.NUMBERVALUE(RIGHT(A147,5))/360</f>
        <v>1</v>
      </c>
      <c r="D147" s="11">
        <v>0.04</v>
      </c>
      <c r="E147" s="14">
        <v>5.0000000000000001E-3</v>
      </c>
      <c r="F147" s="12">
        <f t="shared" ref="F147:F210" si="5">(1+D147)^C147/(1+D147+E147)^C147-1</f>
        <v>-4.7846889952152249E-3</v>
      </c>
    </row>
    <row r="148" spans="1:6" x14ac:dyDescent="0.2">
      <c r="A148" s="1" t="s">
        <v>147</v>
      </c>
      <c r="B148" s="2">
        <f t="shared" si="3"/>
        <v>-7.1684416661494943E-3</v>
      </c>
      <c r="C148" s="9">
        <f t="shared" si="4"/>
        <v>1.5</v>
      </c>
      <c r="D148" s="11">
        <v>0.04</v>
      </c>
      <c r="E148" s="14">
        <v>5.0000000000000001E-3</v>
      </c>
      <c r="F148" s="12">
        <f t="shared" si="5"/>
        <v>-7.1684416661494943E-3</v>
      </c>
    </row>
    <row r="149" spans="1:6" x14ac:dyDescent="0.2">
      <c r="A149" s="1" t="s">
        <v>148</v>
      </c>
      <c r="B149" s="2">
        <f t="shared" si="3"/>
        <v>-9.5464847416494303E-3</v>
      </c>
      <c r="C149" s="9">
        <f t="shared" si="4"/>
        <v>2</v>
      </c>
      <c r="D149" s="11">
        <v>0.04</v>
      </c>
      <c r="E149" s="14">
        <v>5.0000000000000001E-3</v>
      </c>
      <c r="F149" s="12">
        <f t="shared" si="5"/>
        <v>-9.5464847416494303E-3</v>
      </c>
    </row>
    <row r="150" spans="1:6" x14ac:dyDescent="0.2">
      <c r="A150" s="1" t="s">
        <v>149</v>
      </c>
      <c r="B150" s="2">
        <f t="shared" si="3"/>
        <v>-1.1918831897411941E-2</v>
      </c>
      <c r="C150" s="9">
        <f t="shared" si="4"/>
        <v>2.5</v>
      </c>
      <c r="D150" s="11">
        <v>0.04</v>
      </c>
      <c r="E150" s="14">
        <v>5.0000000000000001E-3</v>
      </c>
      <c r="F150" s="12">
        <f t="shared" si="5"/>
        <v>-1.1918831897411941E-2</v>
      </c>
    </row>
    <row r="151" spans="1:6" x14ac:dyDescent="0.2">
      <c r="A151" s="1" t="s">
        <v>150</v>
      </c>
      <c r="B151" s="2">
        <f t="shared" si="3"/>
        <v>-1.4285496776378359E-2</v>
      </c>
      <c r="C151" s="9">
        <f t="shared" si="4"/>
        <v>3</v>
      </c>
      <c r="D151" s="11">
        <v>0.04</v>
      </c>
      <c r="E151" s="14">
        <v>5.0000000000000001E-3</v>
      </c>
      <c r="F151" s="12">
        <f t="shared" si="5"/>
        <v>-1.4285496776378359E-2</v>
      </c>
    </row>
    <row r="152" spans="1:6" x14ac:dyDescent="0.2">
      <c r="A152" s="1" t="s">
        <v>151</v>
      </c>
      <c r="B152" s="2">
        <f t="shared" si="3"/>
        <v>-1.9001834112376215E-2</v>
      </c>
      <c r="C152" s="9">
        <f t="shared" si="4"/>
        <v>4</v>
      </c>
      <c r="D152" s="11">
        <v>0.04</v>
      </c>
      <c r="E152" s="14">
        <v>5.0000000000000001E-3</v>
      </c>
      <c r="F152" s="12">
        <f t="shared" si="5"/>
        <v>-1.9001834112376215E-2</v>
      </c>
    </row>
    <row r="153" spans="1:6" x14ac:dyDescent="0.2">
      <c r="A153" s="1" t="s">
        <v>152</v>
      </c>
      <c r="B153" s="2">
        <f t="shared" si="3"/>
        <v>-2.3695605241024986E-2</v>
      </c>
      <c r="C153" s="9">
        <f t="shared" si="4"/>
        <v>5</v>
      </c>
      <c r="D153" s="11">
        <v>0.04</v>
      </c>
      <c r="E153" s="14">
        <v>5.0000000000000001E-3</v>
      </c>
      <c r="F153" s="12">
        <f t="shared" si="5"/>
        <v>-2.3695605241024986E-2</v>
      </c>
    </row>
    <row r="154" spans="1:6" x14ac:dyDescent="0.2">
      <c r="A154" s="1" t="s">
        <v>153</v>
      </c>
      <c r="B154" s="2">
        <f t="shared" si="3"/>
        <v>-2.8366918134608454E-2</v>
      </c>
      <c r="C154" s="9">
        <f t="shared" si="4"/>
        <v>6</v>
      </c>
      <c r="D154" s="11">
        <v>0.04</v>
      </c>
      <c r="E154" s="14">
        <v>5.0000000000000001E-3</v>
      </c>
      <c r="F154" s="12">
        <f t="shared" si="5"/>
        <v>-2.8366918134608454E-2</v>
      </c>
    </row>
    <row r="155" spans="1:6" x14ac:dyDescent="0.2">
      <c r="A155" s="1" t="s">
        <v>154</v>
      </c>
      <c r="B155" s="2">
        <f t="shared" si="3"/>
        <v>-3.3015880248797091E-2</v>
      </c>
      <c r="C155" s="9">
        <f t="shared" si="4"/>
        <v>7</v>
      </c>
      <c r="D155" s="11">
        <v>0.04</v>
      </c>
      <c r="E155" s="14">
        <v>5.0000000000000001E-3</v>
      </c>
      <c r="F155" s="12">
        <f t="shared" si="5"/>
        <v>-3.3015880248797091E-2</v>
      </c>
    </row>
    <row r="156" spans="1:6" x14ac:dyDescent="0.2">
      <c r="A156" s="1" t="s">
        <v>155</v>
      </c>
      <c r="B156" s="2">
        <f t="shared" si="3"/>
        <v>-3.7642598525118087E-2</v>
      </c>
      <c r="C156" s="9">
        <f t="shared" si="4"/>
        <v>8</v>
      </c>
      <c r="D156" s="11">
        <v>0.04</v>
      </c>
      <c r="E156" s="14">
        <v>5.0000000000000001E-3</v>
      </c>
      <c r="F156" s="12">
        <f t="shared" si="5"/>
        <v>-3.7642598525118087E-2</v>
      </c>
    </row>
    <row r="157" spans="1:6" x14ac:dyDescent="0.2">
      <c r="A157" s="1" t="s">
        <v>156</v>
      </c>
      <c r="B157" s="2">
        <f t="shared" si="3"/>
        <v>-4.2247179393418821E-2</v>
      </c>
      <c r="C157" s="9">
        <f t="shared" si="4"/>
        <v>9</v>
      </c>
      <c r="D157" s="11">
        <v>0.04</v>
      </c>
      <c r="E157" s="14">
        <v>5.0000000000000001E-3</v>
      </c>
      <c r="F157" s="12">
        <f t="shared" si="5"/>
        <v>-4.2247179393418821E-2</v>
      </c>
    </row>
    <row r="158" spans="1:6" x14ac:dyDescent="0.2">
      <c r="A158" s="1" t="s">
        <v>157</v>
      </c>
      <c r="B158" s="2">
        <f t="shared" si="3"/>
        <v>-4.6829728774311463E-2</v>
      </c>
      <c r="C158" s="9">
        <f t="shared" si="4"/>
        <v>10</v>
      </c>
      <c r="D158" s="11">
        <v>0.04</v>
      </c>
      <c r="E158" s="14">
        <v>5.0000000000000001E-3</v>
      </c>
      <c r="F158" s="12">
        <f t="shared" si="5"/>
        <v>-4.6829728774311463E-2</v>
      </c>
    </row>
    <row r="159" spans="1:6" x14ac:dyDescent="0.2">
      <c r="A159" s="1" t="s">
        <v>158</v>
      </c>
      <c r="B159" s="2">
        <f t="shared" si="3"/>
        <v>-5.1390352081611468E-2</v>
      </c>
      <c r="C159" s="9">
        <f t="shared" si="4"/>
        <v>11</v>
      </c>
      <c r="D159" s="11">
        <v>0.04</v>
      </c>
      <c r="E159" s="14">
        <v>5.0000000000000001E-3</v>
      </c>
      <c r="F159" s="12">
        <f t="shared" si="5"/>
        <v>-5.1390352081611468E-2</v>
      </c>
    </row>
    <row r="160" spans="1:6" x14ac:dyDescent="0.2">
      <c r="A160" s="1" t="s">
        <v>159</v>
      </c>
      <c r="B160" s="2">
        <f t="shared" si="3"/>
        <v>-5.5929154224761191E-2</v>
      </c>
      <c r="C160" s="9">
        <f t="shared" si="4"/>
        <v>12</v>
      </c>
      <c r="D160" s="11">
        <v>0.04</v>
      </c>
      <c r="E160" s="14">
        <v>5.0000000000000001E-3</v>
      </c>
      <c r="F160" s="12">
        <f t="shared" si="5"/>
        <v>-5.5929154224761191E-2</v>
      </c>
    </row>
    <row r="161" spans="1:6" x14ac:dyDescent="0.2">
      <c r="A161" s="1" t="s">
        <v>160</v>
      </c>
      <c r="B161" s="2">
        <f t="shared" si="3"/>
        <v>-6.0446239611245622E-2</v>
      </c>
      <c r="C161" s="9">
        <f t="shared" si="4"/>
        <v>13</v>
      </c>
      <c r="D161" s="11">
        <v>0.04</v>
      </c>
      <c r="E161" s="14">
        <v>5.0000000000000001E-3</v>
      </c>
      <c r="F161" s="12">
        <f t="shared" si="5"/>
        <v>-6.0446239611245622E-2</v>
      </c>
    </row>
    <row r="162" spans="1:6" x14ac:dyDescent="0.2">
      <c r="A162" s="1" t="s">
        <v>161</v>
      </c>
      <c r="B162" s="2">
        <f t="shared" si="3"/>
        <v>-6.4941712148990693E-2</v>
      </c>
      <c r="C162" s="9">
        <f t="shared" si="4"/>
        <v>14</v>
      </c>
      <c r="D162" s="11">
        <v>0.04</v>
      </c>
      <c r="E162" s="14">
        <v>5.0000000000000001E-3</v>
      </c>
      <c r="F162" s="12">
        <f t="shared" si="5"/>
        <v>-6.4941712148990693E-2</v>
      </c>
    </row>
    <row r="163" spans="1:6" x14ac:dyDescent="0.2">
      <c r="A163" s="1" t="s">
        <v>162</v>
      </c>
      <c r="B163" s="2">
        <f t="shared" si="3"/>
        <v>-6.9415675248756359E-2</v>
      </c>
      <c r="C163" s="9">
        <f t="shared" si="4"/>
        <v>15</v>
      </c>
      <c r="D163" s="11">
        <v>0.04</v>
      </c>
      <c r="E163" s="14">
        <v>5.0000000000000001E-3</v>
      </c>
      <c r="F163" s="12">
        <f t="shared" si="5"/>
        <v>-6.9415675248756359E-2</v>
      </c>
    </row>
    <row r="164" spans="1:6" x14ac:dyDescent="0.2">
      <c r="A164" s="1" t="s">
        <v>163</v>
      </c>
      <c r="B164" s="2">
        <f t="shared" si="3"/>
        <v>-7.386823182651292E-2</v>
      </c>
      <c r="C164" s="9">
        <f t="shared" si="4"/>
        <v>16</v>
      </c>
      <c r="D164" s="11">
        <v>0.04</v>
      </c>
      <c r="E164" s="14">
        <v>5.0000000000000001E-3</v>
      </c>
      <c r="F164" s="12">
        <f t="shared" si="5"/>
        <v>-7.386823182651292E-2</v>
      </c>
    </row>
    <row r="165" spans="1:6" x14ac:dyDescent="0.2">
      <c r="A165" s="1" t="s">
        <v>164</v>
      </c>
      <c r="B165" s="2">
        <f t="shared" si="3"/>
        <v>-7.8299484305811906E-2</v>
      </c>
      <c r="C165" s="9">
        <f t="shared" si="4"/>
        <v>17</v>
      </c>
      <c r="D165" s="11">
        <v>0.04</v>
      </c>
      <c r="E165" s="14">
        <v>5.0000000000000001E-3</v>
      </c>
      <c r="F165" s="12">
        <f t="shared" si="5"/>
        <v>-7.8299484305811906E-2</v>
      </c>
    </row>
    <row r="166" spans="1:6" x14ac:dyDescent="0.2">
      <c r="A166" s="1" t="s">
        <v>165</v>
      </c>
      <c r="B166" s="2">
        <f t="shared" si="3"/>
        <v>-8.2709534620137859E-2</v>
      </c>
      <c r="C166" s="9">
        <f t="shared" si="4"/>
        <v>18</v>
      </c>
      <c r="D166" s="11">
        <v>0.04</v>
      </c>
      <c r="E166" s="14">
        <v>5.0000000000000001E-3</v>
      </c>
      <c r="F166" s="12">
        <f t="shared" si="5"/>
        <v>-8.2709534620137859E-2</v>
      </c>
    </row>
    <row r="167" spans="1:6" x14ac:dyDescent="0.2">
      <c r="A167" s="1" t="s">
        <v>166</v>
      </c>
      <c r="B167" s="2">
        <f t="shared" si="3"/>
        <v>-8.7098484215256788E-2</v>
      </c>
      <c r="C167" s="9">
        <f t="shared" si="4"/>
        <v>19</v>
      </c>
      <c r="D167" s="11">
        <v>0.04</v>
      </c>
      <c r="E167" s="14">
        <v>5.0000000000000001E-3</v>
      </c>
      <c r="F167" s="12">
        <f t="shared" si="5"/>
        <v>-8.7098484215256788E-2</v>
      </c>
    </row>
    <row r="168" spans="1:6" x14ac:dyDescent="0.2">
      <c r="A168" s="1" t="s">
        <v>167</v>
      </c>
      <c r="B168" s="2">
        <f t="shared" si="3"/>
        <v>-9.1466434051547196E-2</v>
      </c>
      <c r="C168" s="9">
        <f t="shared" si="4"/>
        <v>20</v>
      </c>
      <c r="D168" s="11">
        <v>0.04</v>
      </c>
      <c r="E168" s="14">
        <v>5.0000000000000001E-3</v>
      </c>
      <c r="F168" s="12">
        <f t="shared" si="5"/>
        <v>-9.1466434051547196E-2</v>
      </c>
    </row>
    <row r="169" spans="1:6" x14ac:dyDescent="0.2">
      <c r="A169" s="1" t="s">
        <v>168</v>
      </c>
      <c r="B169" s="2">
        <f t="shared" si="3"/>
        <v>-9.5813484606324439E-2</v>
      </c>
      <c r="C169" s="9">
        <f t="shared" si="4"/>
        <v>21</v>
      </c>
      <c r="D169" s="11">
        <v>0.04</v>
      </c>
      <c r="E169" s="14">
        <v>5.0000000000000001E-3</v>
      </c>
      <c r="F169" s="12">
        <f t="shared" si="5"/>
        <v>-9.5813484606324439E-2</v>
      </c>
    </row>
    <row r="170" spans="1:6" x14ac:dyDescent="0.2">
      <c r="A170" s="1" t="s">
        <v>169</v>
      </c>
      <c r="B170" s="2">
        <f t="shared" si="3"/>
        <v>-0.10013973587615033</v>
      </c>
      <c r="C170" s="9">
        <f t="shared" si="4"/>
        <v>22</v>
      </c>
      <c r="D170" s="11">
        <v>0.04</v>
      </c>
      <c r="E170" s="14">
        <v>5.0000000000000001E-3</v>
      </c>
      <c r="F170" s="12">
        <f t="shared" si="5"/>
        <v>-0.10013973587615033</v>
      </c>
    </row>
    <row r="171" spans="1:6" x14ac:dyDescent="0.2">
      <c r="A171" s="1" t="s">
        <v>170</v>
      </c>
      <c r="B171" s="2">
        <f t="shared" si="3"/>
        <v>-0.10444528737913539</v>
      </c>
      <c r="C171" s="9">
        <f t="shared" si="4"/>
        <v>23</v>
      </c>
      <c r="D171" s="11">
        <v>0.04</v>
      </c>
      <c r="E171" s="14">
        <v>5.0000000000000001E-3</v>
      </c>
      <c r="F171" s="12">
        <f t="shared" si="5"/>
        <v>-0.10444528737913539</v>
      </c>
    </row>
    <row r="172" spans="1:6" x14ac:dyDescent="0.2">
      <c r="A172" s="1" t="s">
        <v>171</v>
      </c>
      <c r="B172" s="2">
        <f t="shared" si="3"/>
        <v>-0.10873023815722538</v>
      </c>
      <c r="C172" s="9">
        <f t="shared" si="4"/>
        <v>24</v>
      </c>
      <c r="D172" s="11">
        <v>0.04</v>
      </c>
      <c r="E172" s="14">
        <v>5.0000000000000001E-3</v>
      </c>
      <c r="F172" s="12">
        <f t="shared" si="5"/>
        <v>-0.10873023815722538</v>
      </c>
    </row>
    <row r="173" spans="1:6" x14ac:dyDescent="0.2">
      <c r="A173" s="1" t="s">
        <v>172</v>
      </c>
      <c r="B173" s="2">
        <f t="shared" si="3"/>
        <v>-0.11299468677848246</v>
      </c>
      <c r="C173" s="9">
        <f t="shared" si="4"/>
        <v>25</v>
      </c>
      <c r="D173" s="11">
        <v>0.04</v>
      </c>
      <c r="E173" s="14">
        <v>5.0000000000000001E-3</v>
      </c>
      <c r="F173" s="12">
        <f t="shared" si="5"/>
        <v>-0.11299468677848246</v>
      </c>
    </row>
    <row r="174" spans="1:6" x14ac:dyDescent="0.2">
      <c r="A174" s="1" t="s">
        <v>173</v>
      </c>
      <c r="B174" s="2">
        <f t="shared" si="3"/>
        <v>-0.11723873133935081</v>
      </c>
      <c r="C174" s="9">
        <f t="shared" si="4"/>
        <v>26</v>
      </c>
      <c r="D174" s="11">
        <v>0.04</v>
      </c>
      <c r="E174" s="14">
        <v>5.0000000000000001E-3</v>
      </c>
      <c r="F174" s="12">
        <f t="shared" si="5"/>
        <v>-0.11723873133935081</v>
      </c>
    </row>
    <row r="175" spans="1:6" x14ac:dyDescent="0.2">
      <c r="A175" s="1" t="s">
        <v>174</v>
      </c>
      <c r="B175" s="2">
        <f t="shared" si="3"/>
        <v>-0.12146246946691375</v>
      </c>
      <c r="C175" s="9">
        <f t="shared" si="4"/>
        <v>27</v>
      </c>
      <c r="D175" s="11">
        <v>0.04</v>
      </c>
      <c r="E175" s="14">
        <v>5.0000000000000001E-3</v>
      </c>
      <c r="F175" s="12">
        <f t="shared" si="5"/>
        <v>-0.12146246946691375</v>
      </c>
    </row>
    <row r="176" spans="1:6" x14ac:dyDescent="0.2">
      <c r="A176" s="1" t="s">
        <v>175</v>
      </c>
      <c r="B176" s="2">
        <f t="shared" si="3"/>
        <v>-0.12566599832113856</v>
      </c>
      <c r="C176" s="9">
        <f t="shared" si="4"/>
        <v>28</v>
      </c>
      <c r="D176" s="11">
        <v>0.04</v>
      </c>
      <c r="E176" s="14">
        <v>5.0000000000000001E-3</v>
      </c>
      <c r="F176" s="12">
        <f t="shared" si="5"/>
        <v>-0.12566599832113856</v>
      </c>
    </row>
    <row r="177" spans="1:6" x14ac:dyDescent="0.2">
      <c r="A177" s="1" t="s">
        <v>176</v>
      </c>
      <c r="B177" s="2">
        <f t="shared" si="3"/>
        <v>-0.12984941459711419</v>
      </c>
      <c r="C177" s="9">
        <f t="shared" si="4"/>
        <v>29</v>
      </c>
      <c r="D177" s="11">
        <v>0.04</v>
      </c>
      <c r="E177" s="14">
        <v>5.0000000000000001E-3</v>
      </c>
      <c r="F177" s="12">
        <f t="shared" si="5"/>
        <v>-0.12984941459711419</v>
      </c>
    </row>
    <row r="178" spans="1:6" x14ac:dyDescent="0.2">
      <c r="A178" s="1" t="s">
        <v>177</v>
      </c>
      <c r="B178" s="2">
        <f t="shared" si="3"/>
        <v>-0.13401281452727132</v>
      </c>
      <c r="C178" s="9">
        <f t="shared" si="4"/>
        <v>30</v>
      </c>
      <c r="D178" s="11">
        <v>0.04</v>
      </c>
      <c r="E178" s="14">
        <v>5.0000000000000001E-3</v>
      </c>
      <c r="F178" s="12">
        <f t="shared" si="5"/>
        <v>-0.13401281452727132</v>
      </c>
    </row>
    <row r="179" spans="1:6" x14ac:dyDescent="0.2">
      <c r="A179" s="1" t="s">
        <v>178</v>
      </c>
      <c r="B179" s="2">
        <f t="shared" si="3"/>
        <v>-0.13815629388360029</v>
      </c>
      <c r="C179" s="9">
        <f t="shared" si="4"/>
        <v>31</v>
      </c>
      <c r="D179" s="11">
        <v>0.04</v>
      </c>
      <c r="E179" s="14">
        <v>5.0000000000000001E-3</v>
      </c>
      <c r="F179" s="12">
        <f t="shared" si="5"/>
        <v>-0.13815629388360029</v>
      </c>
    </row>
    <row r="180" spans="1:6" x14ac:dyDescent="0.2">
      <c r="A180" s="1" t="s">
        <v>179</v>
      </c>
      <c r="B180" s="2">
        <f t="shared" si="3"/>
        <v>-0.14227994797985044</v>
      </c>
      <c r="C180" s="9">
        <f t="shared" si="4"/>
        <v>32</v>
      </c>
      <c r="D180" s="11">
        <v>0.04</v>
      </c>
      <c r="E180" s="14">
        <v>5.0000000000000001E-3</v>
      </c>
      <c r="F180" s="12">
        <f t="shared" si="5"/>
        <v>-0.14227994797985044</v>
      </c>
    </row>
    <row r="181" spans="1:6" x14ac:dyDescent="0.2">
      <c r="A181" s="1" t="s">
        <v>180</v>
      </c>
      <c r="B181" s="2">
        <f t="shared" si="3"/>
        <v>-0.14638387167372668</v>
      </c>
      <c r="C181" s="9">
        <f t="shared" si="4"/>
        <v>33</v>
      </c>
      <c r="D181" s="11">
        <v>0.04</v>
      </c>
      <c r="E181" s="14">
        <v>5.0000000000000001E-3</v>
      </c>
      <c r="F181" s="12">
        <f t="shared" si="5"/>
        <v>-0.14638387167372668</v>
      </c>
    </row>
    <row r="182" spans="1:6" x14ac:dyDescent="0.2">
      <c r="A182" s="1" t="s">
        <v>181</v>
      </c>
      <c r="B182" s="2">
        <f t="shared" si="3"/>
        <v>-0.15046815936906743</v>
      </c>
      <c r="C182" s="9">
        <f t="shared" si="4"/>
        <v>34</v>
      </c>
      <c r="D182" s="11">
        <v>0.04</v>
      </c>
      <c r="E182" s="14">
        <v>5.0000000000000001E-3</v>
      </c>
      <c r="F182" s="12">
        <f t="shared" si="5"/>
        <v>-0.15046815936906743</v>
      </c>
    </row>
    <row r="183" spans="1:6" x14ac:dyDescent="0.2">
      <c r="A183" s="1" t="s">
        <v>182</v>
      </c>
      <c r="B183" s="2">
        <f t="shared" si="3"/>
        <v>-0.15453290501801931</v>
      </c>
      <c r="C183" s="9">
        <f t="shared" si="4"/>
        <v>35</v>
      </c>
      <c r="D183" s="11">
        <v>0.04</v>
      </c>
      <c r="E183" s="14">
        <v>5.0000000000000001E-3</v>
      </c>
      <c r="F183" s="12">
        <f t="shared" si="5"/>
        <v>-0.15453290501801931</v>
      </c>
    </row>
    <row r="184" spans="1:6" x14ac:dyDescent="0.2">
      <c r="A184" s="1" t="s">
        <v>183</v>
      </c>
      <c r="B184" s="2">
        <f t="shared" si="3"/>
        <v>-0.15857820212319607</v>
      </c>
      <c r="C184" s="9">
        <f t="shared" si="4"/>
        <v>36</v>
      </c>
      <c r="D184" s="11">
        <v>0.04</v>
      </c>
      <c r="E184" s="14">
        <v>5.0000000000000001E-3</v>
      </c>
      <c r="F184" s="12">
        <f t="shared" si="5"/>
        <v>-0.15857820212319607</v>
      </c>
    </row>
    <row r="185" spans="1:6" x14ac:dyDescent="0.2">
      <c r="A185" s="1" t="s">
        <v>184</v>
      </c>
      <c r="B185" s="2">
        <f t="shared" si="3"/>
        <v>-0.16260414373983123</v>
      </c>
      <c r="C185" s="9">
        <f t="shared" si="4"/>
        <v>37</v>
      </c>
      <c r="D185" s="11">
        <v>0.04</v>
      </c>
      <c r="E185" s="14">
        <v>5.0000000000000001E-3</v>
      </c>
      <c r="F185" s="12">
        <f t="shared" si="5"/>
        <v>-0.16260414373983123</v>
      </c>
    </row>
    <row r="186" spans="1:6" x14ac:dyDescent="0.2">
      <c r="A186" s="1" t="s">
        <v>185</v>
      </c>
      <c r="B186" s="2">
        <f t="shared" si="3"/>
        <v>-0.16661082247791814</v>
      </c>
      <c r="C186" s="9">
        <f t="shared" si="4"/>
        <v>38</v>
      </c>
      <c r="D186" s="11">
        <v>0.04</v>
      </c>
      <c r="E186" s="14">
        <v>5.0000000000000001E-3</v>
      </c>
      <c r="F186" s="12">
        <f t="shared" si="5"/>
        <v>-0.16661082247791814</v>
      </c>
    </row>
    <row r="187" spans="1:6" x14ac:dyDescent="0.2">
      <c r="A187" s="1" t="s">
        <v>186</v>
      </c>
      <c r="B187" s="2">
        <f t="shared" si="3"/>
        <v>-0.1705983305043397</v>
      </c>
      <c r="C187" s="9">
        <f t="shared" si="4"/>
        <v>39</v>
      </c>
      <c r="D187" s="11">
        <v>0.04</v>
      </c>
      <c r="E187" s="14">
        <v>5.0000000000000001E-3</v>
      </c>
      <c r="F187" s="12">
        <f t="shared" si="5"/>
        <v>-0.1705983305043397</v>
      </c>
    </row>
    <row r="188" spans="1:6" x14ac:dyDescent="0.2">
      <c r="A188" s="1" t="s">
        <v>187</v>
      </c>
      <c r="B188" s="2">
        <f t="shared" si="3"/>
        <v>-0.17456675954498824</v>
      </c>
      <c r="C188" s="9">
        <f t="shared" si="4"/>
        <v>40</v>
      </c>
      <c r="D188" s="11">
        <v>0.04</v>
      </c>
      <c r="E188" s="14">
        <v>5.0000000000000001E-3</v>
      </c>
      <c r="F188" s="12">
        <f t="shared" si="5"/>
        <v>-0.17456675954498824</v>
      </c>
    </row>
    <row r="189" spans="1:6" x14ac:dyDescent="0.2">
      <c r="A189" s="1" t="s">
        <v>188</v>
      </c>
      <c r="B189" s="2">
        <f t="shared" si="3"/>
        <v>-0.17851620088687814</v>
      </c>
      <c r="C189" s="9">
        <f t="shared" si="4"/>
        <v>41</v>
      </c>
      <c r="D189" s="11">
        <v>0.04</v>
      </c>
      <c r="E189" s="14">
        <v>5.0000000000000001E-3</v>
      </c>
      <c r="F189" s="12">
        <f t="shared" si="5"/>
        <v>-0.17851620088687814</v>
      </c>
    </row>
    <row r="190" spans="1:6" x14ac:dyDescent="0.2">
      <c r="A190" s="1" t="s">
        <v>189</v>
      </c>
      <c r="B190" s="2">
        <f t="shared" si="3"/>
        <v>-0.1824467453802423</v>
      </c>
      <c r="C190" s="9">
        <f t="shared" si="4"/>
        <v>42</v>
      </c>
      <c r="D190" s="11">
        <v>0.04</v>
      </c>
      <c r="E190" s="14">
        <v>5.0000000000000001E-3</v>
      </c>
      <c r="F190" s="12">
        <f t="shared" si="5"/>
        <v>-0.1824467453802423</v>
      </c>
    </row>
    <row r="191" spans="1:6" x14ac:dyDescent="0.2">
      <c r="A191" s="1" t="s">
        <v>190</v>
      </c>
      <c r="B191" s="2">
        <f t="shared" si="3"/>
        <v>-0.18635848344062389</v>
      </c>
      <c r="C191" s="9">
        <f t="shared" si="4"/>
        <v>43</v>
      </c>
      <c r="D191" s="11">
        <v>0.04</v>
      </c>
      <c r="E191" s="14">
        <v>5.0000000000000001E-3</v>
      </c>
      <c r="F191" s="12">
        <f t="shared" si="5"/>
        <v>-0.18635848344062389</v>
      </c>
    </row>
    <row r="192" spans="1:6" x14ac:dyDescent="0.2">
      <c r="A192" s="1" t="s">
        <v>191</v>
      </c>
      <c r="B192" s="2">
        <f t="shared" si="3"/>
        <v>-0.19025150505095556</v>
      </c>
      <c r="C192" s="9">
        <f t="shared" si="4"/>
        <v>44</v>
      </c>
      <c r="D192" s="11">
        <v>0.04</v>
      </c>
      <c r="E192" s="14">
        <v>5.0000000000000001E-3</v>
      </c>
      <c r="F192" s="12">
        <f t="shared" si="5"/>
        <v>-0.19025150505095556</v>
      </c>
    </row>
    <row r="193" spans="1:6" x14ac:dyDescent="0.2">
      <c r="A193" s="1" t="s">
        <v>192</v>
      </c>
      <c r="B193" s="2">
        <f t="shared" si="3"/>
        <v>-0.19412589976363048</v>
      </c>
      <c r="C193" s="9">
        <f t="shared" si="4"/>
        <v>45</v>
      </c>
      <c r="D193" s="11">
        <v>0.04</v>
      </c>
      <c r="E193" s="14">
        <v>5.0000000000000001E-3</v>
      </c>
      <c r="F193" s="12">
        <f t="shared" si="5"/>
        <v>-0.19412589976363048</v>
      </c>
    </row>
    <row r="194" spans="1:6" x14ac:dyDescent="0.2">
      <c r="A194" s="1" t="s">
        <v>193</v>
      </c>
      <c r="B194" s="2">
        <f t="shared" si="3"/>
        <v>-0.19798175670256024</v>
      </c>
      <c r="C194" s="9">
        <f t="shared" si="4"/>
        <v>46</v>
      </c>
      <c r="D194" s="11">
        <v>0.04</v>
      </c>
      <c r="E194" s="14">
        <v>5.0000000000000001E-3</v>
      </c>
      <c r="F194" s="12">
        <f t="shared" si="5"/>
        <v>-0.19798175670256024</v>
      </c>
    </row>
    <row r="195" spans="1:6" x14ac:dyDescent="0.2">
      <c r="A195" s="1" t="s">
        <v>194</v>
      </c>
      <c r="B195" s="2">
        <f t="shared" si="3"/>
        <v>-0.20181916456522753</v>
      </c>
      <c r="C195" s="9">
        <f t="shared" si="4"/>
        <v>47</v>
      </c>
      <c r="D195" s="11">
        <v>0.04</v>
      </c>
      <c r="E195" s="14">
        <v>5.0000000000000001E-3</v>
      </c>
      <c r="F195" s="12">
        <f t="shared" si="5"/>
        <v>-0.20181916456522753</v>
      </c>
    </row>
    <row r="196" spans="1:6" x14ac:dyDescent="0.2">
      <c r="A196" s="1" t="s">
        <v>195</v>
      </c>
      <c r="B196" s="2">
        <f t="shared" si="3"/>
        <v>-0.20563821162472362</v>
      </c>
      <c r="C196" s="9">
        <f t="shared" si="4"/>
        <v>48</v>
      </c>
      <c r="D196" s="11">
        <v>0.04</v>
      </c>
      <c r="E196" s="14">
        <v>5.0000000000000001E-3</v>
      </c>
      <c r="F196" s="12">
        <f t="shared" si="5"/>
        <v>-0.20563821162472362</v>
      </c>
    </row>
    <row r="197" spans="1:6" x14ac:dyDescent="0.2">
      <c r="A197" s="1" t="s">
        <v>196</v>
      </c>
      <c r="B197" s="2">
        <f t="shared" si="3"/>
        <v>-0.20943898573178232</v>
      </c>
      <c r="C197" s="9">
        <f t="shared" si="4"/>
        <v>49</v>
      </c>
      <c r="D197" s="11">
        <v>0.04</v>
      </c>
      <c r="E197" s="14">
        <v>5.0000000000000001E-3</v>
      </c>
      <c r="F197" s="12">
        <f t="shared" si="5"/>
        <v>-0.20943898573178232</v>
      </c>
    </row>
    <row r="198" spans="1:6" x14ac:dyDescent="0.2">
      <c r="A198" s="3" t="s">
        <v>197</v>
      </c>
      <c r="B198" s="4">
        <f t="shared" si="3"/>
        <v>-0.21322157431679745</v>
      </c>
      <c r="C198" s="9">
        <f t="shared" si="4"/>
        <v>50</v>
      </c>
      <c r="D198" s="11">
        <v>0.04</v>
      </c>
      <c r="E198" s="14">
        <v>5.0000000000000001E-3</v>
      </c>
      <c r="F198" s="12">
        <f t="shared" si="5"/>
        <v>-0.21322157431679745</v>
      </c>
    </row>
    <row r="199" spans="1:6" x14ac:dyDescent="0.2">
      <c r="A199" s="1" t="s">
        <v>198</v>
      </c>
      <c r="B199" s="2">
        <v>0</v>
      </c>
      <c r="C199" s="9"/>
      <c r="D199" s="11"/>
      <c r="E199" s="13"/>
      <c r="F199" s="12"/>
    </row>
    <row r="200" spans="1:6" x14ac:dyDescent="0.2">
      <c r="A200" s="1" t="s">
        <v>199</v>
      </c>
      <c r="B200" s="2">
        <v>0</v>
      </c>
      <c r="C200" s="9"/>
      <c r="D200" s="11"/>
      <c r="E200" s="13"/>
      <c r="F200" s="12"/>
    </row>
    <row r="201" spans="1:6" x14ac:dyDescent="0.2">
      <c r="A201" s="1" t="s">
        <v>200</v>
      </c>
      <c r="B201" s="2">
        <v>0</v>
      </c>
      <c r="C201" s="9"/>
      <c r="D201" s="11"/>
      <c r="E201" s="13"/>
      <c r="F201" s="12"/>
    </row>
    <row r="202" spans="1:6" x14ac:dyDescent="0.2">
      <c r="A202" s="1" t="s">
        <v>201</v>
      </c>
      <c r="B202" s="2">
        <v>0</v>
      </c>
      <c r="C202" s="9"/>
      <c r="D202" s="11"/>
      <c r="E202" s="13"/>
      <c r="F202" s="12"/>
    </row>
    <row r="203" spans="1:6" x14ac:dyDescent="0.2">
      <c r="A203" s="1" t="s">
        <v>202</v>
      </c>
      <c r="B203" s="2">
        <v>0</v>
      </c>
      <c r="C203" s="9"/>
      <c r="D203" s="11"/>
      <c r="E203" s="13"/>
      <c r="F203" s="12"/>
    </row>
    <row r="204" spans="1:6" x14ac:dyDescent="0.2">
      <c r="A204" s="1" t="s">
        <v>203</v>
      </c>
      <c r="B204" s="2">
        <v>0</v>
      </c>
      <c r="C204" s="9"/>
      <c r="D204" s="11"/>
      <c r="E204" s="13"/>
      <c r="F204" s="12"/>
    </row>
    <row r="205" spans="1:6" x14ac:dyDescent="0.2">
      <c r="A205" s="1" t="s">
        <v>204</v>
      </c>
      <c r="B205" s="2">
        <v>0</v>
      </c>
      <c r="C205" s="9"/>
      <c r="D205" s="11"/>
      <c r="E205" s="13"/>
      <c r="F205" s="12"/>
    </row>
    <row r="206" spans="1:6" x14ac:dyDescent="0.2">
      <c r="A206" s="1" t="s">
        <v>205</v>
      </c>
      <c r="B206" s="2">
        <v>0</v>
      </c>
      <c r="C206" s="9"/>
      <c r="D206" s="11"/>
      <c r="E206" s="13"/>
      <c r="F206" s="12"/>
    </row>
    <row r="207" spans="1:6" x14ac:dyDescent="0.2">
      <c r="A207" s="1" t="s">
        <v>206</v>
      </c>
      <c r="B207" s="2">
        <v>0</v>
      </c>
      <c r="C207" s="9"/>
      <c r="D207" s="11"/>
      <c r="E207" s="13"/>
      <c r="F207" s="12"/>
    </row>
    <row r="208" spans="1:6" x14ac:dyDescent="0.2">
      <c r="A208" s="1" t="s">
        <v>207</v>
      </c>
      <c r="B208" s="2">
        <v>0</v>
      </c>
      <c r="C208" s="9"/>
      <c r="D208" s="11"/>
      <c r="E208" s="13"/>
      <c r="F208" s="12"/>
    </row>
    <row r="209" spans="1:6" x14ac:dyDescent="0.2">
      <c r="A209" s="1" t="s">
        <v>208</v>
      </c>
      <c r="B209" s="2">
        <v>0</v>
      </c>
      <c r="C209" s="9"/>
      <c r="D209" s="11"/>
      <c r="E209" s="13"/>
      <c r="F209" s="12"/>
    </row>
    <row r="210" spans="1:6" x14ac:dyDescent="0.2">
      <c r="A210" s="1" t="s">
        <v>209</v>
      </c>
      <c r="B210" s="2">
        <v>0</v>
      </c>
      <c r="C210" s="9"/>
      <c r="D210" s="11"/>
      <c r="E210" s="13"/>
      <c r="F210" s="12"/>
    </row>
    <row r="211" spans="1:6" x14ac:dyDescent="0.2">
      <c r="A211" s="1" t="s">
        <v>210</v>
      </c>
      <c r="B211" s="2">
        <v>0</v>
      </c>
      <c r="C211" s="9"/>
      <c r="D211" s="11"/>
      <c r="E211" s="13"/>
      <c r="F211" s="12"/>
    </row>
    <row r="212" spans="1:6" x14ac:dyDescent="0.2">
      <c r="A212" s="1" t="s">
        <v>211</v>
      </c>
      <c r="B212" s="2">
        <v>0</v>
      </c>
      <c r="C212" s="9"/>
      <c r="D212" s="11"/>
      <c r="E212" s="13"/>
      <c r="F212" s="12"/>
    </row>
    <row r="213" spans="1:6" x14ac:dyDescent="0.2">
      <c r="A213" s="1" t="s">
        <v>212</v>
      </c>
      <c r="B213" s="2">
        <v>0</v>
      </c>
      <c r="C213" s="9"/>
      <c r="D213" s="11"/>
      <c r="E213" s="13"/>
      <c r="F213" s="12"/>
    </row>
    <row r="214" spans="1:6" x14ac:dyDescent="0.2">
      <c r="A214" s="1" t="s">
        <v>213</v>
      </c>
      <c r="B214" s="2">
        <v>0</v>
      </c>
      <c r="C214" s="9"/>
      <c r="D214" s="11"/>
      <c r="E214" s="13"/>
      <c r="F214" s="12"/>
    </row>
    <row r="215" spans="1:6" x14ac:dyDescent="0.2">
      <c r="A215" s="1" t="s">
        <v>214</v>
      </c>
      <c r="B215" s="2">
        <v>0</v>
      </c>
      <c r="C215" s="9"/>
      <c r="D215" s="11"/>
      <c r="E215" s="13"/>
      <c r="F215" s="12"/>
    </row>
    <row r="216" spans="1:6" x14ac:dyDescent="0.2">
      <c r="A216" s="1" t="s">
        <v>215</v>
      </c>
      <c r="B216" s="2">
        <v>0</v>
      </c>
      <c r="C216" s="9"/>
      <c r="D216" s="11"/>
      <c r="E216" s="13"/>
      <c r="F216" s="12"/>
    </row>
    <row r="217" spans="1:6" x14ac:dyDescent="0.2">
      <c r="A217" s="1" t="s">
        <v>216</v>
      </c>
      <c r="B217" s="2">
        <v>0</v>
      </c>
      <c r="C217" s="9"/>
      <c r="D217" s="11"/>
      <c r="E217" s="13"/>
      <c r="F217" s="12"/>
    </row>
    <row r="218" spans="1:6" x14ac:dyDescent="0.2">
      <c r="A218" s="1" t="s">
        <v>217</v>
      </c>
      <c r="B218" s="2">
        <v>0</v>
      </c>
      <c r="C218" s="9"/>
      <c r="D218" s="11"/>
      <c r="E218" s="13"/>
      <c r="F218" s="12"/>
    </row>
    <row r="219" spans="1:6" x14ac:dyDescent="0.2">
      <c r="A219" s="1" t="s">
        <v>218</v>
      </c>
      <c r="B219" s="2">
        <v>0</v>
      </c>
      <c r="C219" s="9"/>
      <c r="D219" s="11"/>
      <c r="E219" s="13"/>
      <c r="F219" s="12"/>
    </row>
    <row r="220" spans="1:6" x14ac:dyDescent="0.2">
      <c r="A220" s="1" t="s">
        <v>219</v>
      </c>
      <c r="B220" s="2">
        <v>0</v>
      </c>
      <c r="C220" s="9"/>
      <c r="D220" s="11"/>
      <c r="E220" s="13"/>
      <c r="F220" s="12"/>
    </row>
    <row r="221" spans="1:6" x14ac:dyDescent="0.2">
      <c r="A221" s="1" t="s">
        <v>220</v>
      </c>
      <c r="B221" s="2">
        <v>0</v>
      </c>
      <c r="C221" s="9"/>
      <c r="D221" s="11"/>
      <c r="E221" s="13"/>
      <c r="F221" s="12"/>
    </row>
    <row r="222" spans="1:6" x14ac:dyDescent="0.2">
      <c r="A222" s="1" t="s">
        <v>221</v>
      </c>
      <c r="B222" s="2">
        <v>0</v>
      </c>
      <c r="C222" s="9"/>
      <c r="D222" s="11"/>
      <c r="E222" s="13"/>
      <c r="F222" s="12"/>
    </row>
    <row r="223" spans="1:6" x14ac:dyDescent="0.2">
      <c r="A223" s="1" t="s">
        <v>222</v>
      </c>
      <c r="B223" s="2">
        <v>0</v>
      </c>
      <c r="C223" s="9"/>
      <c r="D223" s="11"/>
      <c r="E223" s="13"/>
      <c r="F223" s="12"/>
    </row>
    <row r="224" spans="1:6" x14ac:dyDescent="0.2">
      <c r="A224" s="1" t="s">
        <v>223</v>
      </c>
      <c r="B224" s="2">
        <v>0</v>
      </c>
      <c r="C224" s="9"/>
      <c r="D224" s="11"/>
      <c r="E224" s="13"/>
      <c r="F224" s="12"/>
    </row>
    <row r="225" spans="1:6" x14ac:dyDescent="0.2">
      <c r="A225" s="1" t="s">
        <v>224</v>
      </c>
      <c r="B225" s="2">
        <v>0</v>
      </c>
      <c r="C225" s="9"/>
      <c r="D225" s="11"/>
      <c r="E225" s="13"/>
      <c r="F225" s="12"/>
    </row>
    <row r="226" spans="1:6" x14ac:dyDescent="0.2">
      <c r="A226" s="1" t="s">
        <v>225</v>
      </c>
      <c r="B226" s="2">
        <v>0</v>
      </c>
      <c r="C226" s="9"/>
      <c r="D226" s="11"/>
      <c r="E226" s="13"/>
      <c r="F226" s="12"/>
    </row>
    <row r="227" spans="1:6" x14ac:dyDescent="0.2">
      <c r="A227" s="1" t="s">
        <v>226</v>
      </c>
      <c r="B227" s="2">
        <v>0</v>
      </c>
      <c r="C227" s="9"/>
      <c r="D227" s="11"/>
      <c r="E227" s="13"/>
      <c r="F227" s="12"/>
    </row>
    <row r="228" spans="1:6" x14ac:dyDescent="0.2">
      <c r="A228" s="1" t="s">
        <v>227</v>
      </c>
      <c r="B228" s="2">
        <v>0</v>
      </c>
      <c r="C228" s="9"/>
      <c r="D228" s="11"/>
      <c r="E228" s="13"/>
      <c r="F228" s="12"/>
    </row>
    <row r="229" spans="1:6" x14ac:dyDescent="0.2">
      <c r="A229" s="1" t="s">
        <v>228</v>
      </c>
      <c r="B229" s="2">
        <v>0</v>
      </c>
      <c r="C229" s="9"/>
      <c r="D229" s="11"/>
      <c r="E229" s="13"/>
      <c r="F229" s="12"/>
    </row>
    <row r="230" spans="1:6" x14ac:dyDescent="0.2">
      <c r="A230" s="1" t="s">
        <v>229</v>
      </c>
      <c r="B230" s="2">
        <v>0</v>
      </c>
      <c r="C230" s="9"/>
      <c r="D230" s="11"/>
      <c r="E230" s="13"/>
      <c r="F230" s="12"/>
    </row>
    <row r="231" spans="1:6" x14ac:dyDescent="0.2">
      <c r="A231" s="1" t="s">
        <v>230</v>
      </c>
      <c r="B231" s="2">
        <v>0</v>
      </c>
      <c r="C231" s="9"/>
      <c r="D231" s="11"/>
      <c r="E231" s="13"/>
      <c r="F231" s="12"/>
    </row>
    <row r="232" spans="1:6" x14ac:dyDescent="0.2">
      <c r="A232" s="1" t="s">
        <v>231</v>
      </c>
      <c r="B232" s="2">
        <v>0</v>
      </c>
      <c r="C232" s="9"/>
      <c r="D232" s="11"/>
      <c r="E232" s="13"/>
      <c r="F232" s="12"/>
    </row>
    <row r="233" spans="1:6" x14ac:dyDescent="0.2">
      <c r="A233" s="1" t="s">
        <v>232</v>
      </c>
      <c r="B233" s="2">
        <v>0</v>
      </c>
      <c r="C233" s="9"/>
      <c r="D233" s="11"/>
      <c r="E233" s="13"/>
      <c r="F233" s="12"/>
    </row>
    <row r="234" spans="1:6" x14ac:dyDescent="0.2">
      <c r="A234" s="1" t="s">
        <v>233</v>
      </c>
      <c r="B234" s="2">
        <v>0</v>
      </c>
      <c r="C234" s="9"/>
      <c r="D234" s="11"/>
      <c r="E234" s="13"/>
      <c r="F234" s="12"/>
    </row>
    <row r="235" spans="1:6" x14ac:dyDescent="0.2">
      <c r="A235" s="1" t="s">
        <v>234</v>
      </c>
      <c r="B235" s="2">
        <v>0</v>
      </c>
      <c r="C235" s="9"/>
      <c r="D235" s="11"/>
      <c r="E235" s="13"/>
      <c r="F235" s="12"/>
    </row>
    <row r="236" spans="1:6" x14ac:dyDescent="0.2">
      <c r="A236" s="1" t="s">
        <v>235</v>
      </c>
      <c r="B236" s="2">
        <v>0</v>
      </c>
      <c r="C236" s="9"/>
      <c r="D236" s="11"/>
      <c r="E236" s="13"/>
      <c r="F236" s="12"/>
    </row>
    <row r="237" spans="1:6" x14ac:dyDescent="0.2">
      <c r="A237" s="1" t="s">
        <v>236</v>
      </c>
      <c r="B237" s="2">
        <v>0</v>
      </c>
      <c r="C237" s="9"/>
      <c r="D237" s="11"/>
      <c r="E237" s="13"/>
      <c r="F237" s="12"/>
    </row>
    <row r="238" spans="1:6" x14ac:dyDescent="0.2">
      <c r="A238" s="1" t="s">
        <v>237</v>
      </c>
      <c r="B238" s="2">
        <v>0</v>
      </c>
      <c r="C238" s="9"/>
      <c r="D238" s="11"/>
      <c r="E238" s="13"/>
      <c r="F238" s="12"/>
    </row>
    <row r="239" spans="1:6" x14ac:dyDescent="0.2">
      <c r="A239" s="1" t="s">
        <v>238</v>
      </c>
      <c r="B239" s="2">
        <v>0</v>
      </c>
      <c r="C239" s="9"/>
      <c r="D239" s="11"/>
      <c r="E239" s="13"/>
      <c r="F239" s="12"/>
    </row>
    <row r="240" spans="1:6" x14ac:dyDescent="0.2">
      <c r="A240" s="1" t="s">
        <v>239</v>
      </c>
      <c r="B240" s="2">
        <v>0</v>
      </c>
      <c r="C240" s="9"/>
      <c r="D240" s="11"/>
      <c r="E240" s="13"/>
      <c r="F240" s="12"/>
    </row>
    <row r="241" spans="1:6" x14ac:dyDescent="0.2">
      <c r="A241" s="1" t="s">
        <v>240</v>
      </c>
      <c r="B241" s="2">
        <v>0</v>
      </c>
      <c r="C241" s="9"/>
      <c r="D241" s="11"/>
      <c r="E241" s="13"/>
      <c r="F241" s="12"/>
    </row>
    <row r="242" spans="1:6" x14ac:dyDescent="0.2">
      <c r="A242" s="1" t="s">
        <v>241</v>
      </c>
      <c r="B242" s="2">
        <v>0</v>
      </c>
      <c r="C242" s="9"/>
      <c r="D242" s="11"/>
      <c r="E242" s="13"/>
      <c r="F242" s="12"/>
    </row>
    <row r="243" spans="1:6" x14ac:dyDescent="0.2">
      <c r="A243" s="1" t="s">
        <v>242</v>
      </c>
      <c r="B243" s="2">
        <v>0</v>
      </c>
      <c r="C243" s="9"/>
      <c r="D243" s="11"/>
      <c r="E243" s="13"/>
      <c r="F243" s="12"/>
    </row>
    <row r="244" spans="1:6" x14ac:dyDescent="0.2">
      <c r="A244" s="1" t="s">
        <v>243</v>
      </c>
      <c r="B244" s="2">
        <v>0</v>
      </c>
      <c r="C244" s="9"/>
      <c r="D244" s="11"/>
      <c r="E244" s="13"/>
      <c r="F244" s="12"/>
    </row>
    <row r="245" spans="1:6" x14ac:dyDescent="0.2">
      <c r="A245" s="1" t="s">
        <v>244</v>
      </c>
      <c r="B245" s="2">
        <v>0</v>
      </c>
      <c r="C245" s="9"/>
      <c r="D245" s="11"/>
      <c r="E245" s="13"/>
      <c r="F245" s="12"/>
    </row>
    <row r="246" spans="1:6" x14ac:dyDescent="0.2">
      <c r="A246" s="1" t="s">
        <v>245</v>
      </c>
      <c r="B246" s="2">
        <v>0</v>
      </c>
      <c r="C246" s="9"/>
      <c r="D246" s="11"/>
      <c r="E246" s="13"/>
      <c r="F246" s="12"/>
    </row>
    <row r="247" spans="1:6" x14ac:dyDescent="0.2">
      <c r="A247" s="1" t="s">
        <v>246</v>
      </c>
      <c r="B247" s="2">
        <v>0</v>
      </c>
      <c r="C247" s="9"/>
      <c r="D247" s="11"/>
      <c r="E247" s="13"/>
      <c r="F247" s="12"/>
    </row>
    <row r="248" spans="1:6" x14ac:dyDescent="0.2">
      <c r="A248" s="1" t="s">
        <v>247</v>
      </c>
      <c r="B248" s="2">
        <v>0</v>
      </c>
      <c r="C248" s="9"/>
      <c r="D248" s="11"/>
      <c r="E248" s="13"/>
      <c r="F248" s="12"/>
    </row>
    <row r="249" spans="1:6" x14ac:dyDescent="0.2">
      <c r="A249" s="1" t="s">
        <v>248</v>
      </c>
      <c r="B249" s="2">
        <v>0</v>
      </c>
      <c r="C249" s="9"/>
      <c r="D249" s="11"/>
      <c r="E249" s="13"/>
      <c r="F249" s="12"/>
    </row>
    <row r="250" spans="1:6" x14ac:dyDescent="0.2">
      <c r="A250" s="1" t="s">
        <v>249</v>
      </c>
      <c r="B250" s="2">
        <v>0</v>
      </c>
      <c r="C250" s="9"/>
      <c r="D250" s="11"/>
      <c r="E250" s="13"/>
      <c r="F250" s="12"/>
    </row>
    <row r="251" spans="1:6" x14ac:dyDescent="0.2">
      <c r="A251" s="1" t="s">
        <v>250</v>
      </c>
      <c r="B251" s="2">
        <v>0</v>
      </c>
      <c r="C251" s="9"/>
      <c r="D251" s="11"/>
      <c r="E251" s="13"/>
      <c r="F251" s="12"/>
    </row>
    <row r="252" spans="1:6" x14ac:dyDescent="0.2">
      <c r="A252" s="1" t="s">
        <v>251</v>
      </c>
      <c r="B252" s="2">
        <v>0</v>
      </c>
      <c r="C252" s="9"/>
      <c r="D252" s="11"/>
      <c r="E252" s="13"/>
      <c r="F252" s="12"/>
    </row>
    <row r="253" spans="1:6" x14ac:dyDescent="0.2">
      <c r="A253" s="1" t="s">
        <v>252</v>
      </c>
      <c r="B253" s="2">
        <v>0</v>
      </c>
      <c r="C253" s="9"/>
      <c r="D253" s="11"/>
      <c r="E253" s="13"/>
      <c r="F253" s="12"/>
    </row>
    <row r="254" spans="1:6" x14ac:dyDescent="0.2">
      <c r="A254" s="1" t="s">
        <v>253</v>
      </c>
      <c r="B254" s="2">
        <v>0</v>
      </c>
      <c r="C254" s="9"/>
      <c r="D254" s="11"/>
      <c r="E254" s="13"/>
      <c r="F254" s="12"/>
    </row>
    <row r="255" spans="1:6" x14ac:dyDescent="0.2">
      <c r="A255" s="1" t="s">
        <v>254</v>
      </c>
      <c r="B255" s="2">
        <v>0</v>
      </c>
      <c r="C255" s="9"/>
      <c r="D255" s="11"/>
      <c r="E255" s="13"/>
      <c r="F255" s="12"/>
    </row>
    <row r="256" spans="1:6" x14ac:dyDescent="0.2">
      <c r="A256" s="1" t="s">
        <v>255</v>
      </c>
      <c r="B256" s="2">
        <v>0</v>
      </c>
      <c r="C256" s="9"/>
      <c r="D256" s="11"/>
      <c r="E256" s="13"/>
      <c r="F256" s="12"/>
    </row>
    <row r="257" spans="1:6" x14ac:dyDescent="0.2">
      <c r="A257" s="3" t="s">
        <v>256</v>
      </c>
      <c r="B257" s="4">
        <v>0</v>
      </c>
      <c r="C257" s="9"/>
      <c r="D257" s="11"/>
      <c r="E257" s="13"/>
      <c r="F257" s="12"/>
    </row>
    <row r="258" spans="1:6" x14ac:dyDescent="0.2">
      <c r="A258" s="1" t="s">
        <v>257</v>
      </c>
      <c r="B258" s="2">
        <v>0</v>
      </c>
      <c r="C258" s="9"/>
      <c r="D258" s="11"/>
      <c r="E258" s="13"/>
      <c r="F258" s="12"/>
    </row>
    <row r="259" spans="1:6" x14ac:dyDescent="0.2">
      <c r="A259" s="7" t="s">
        <v>258</v>
      </c>
      <c r="B259" s="8">
        <v>0.1</v>
      </c>
      <c r="C259" s="9"/>
      <c r="D259" s="11"/>
      <c r="E259" s="13"/>
      <c r="F259" s="12"/>
    </row>
    <row r="260" spans="1:6" x14ac:dyDescent="0.2">
      <c r="A260" s="1" t="s">
        <v>259</v>
      </c>
      <c r="B260" s="2">
        <v>0</v>
      </c>
      <c r="C260" s="9"/>
      <c r="D260" s="11"/>
      <c r="E260" s="13"/>
      <c r="F260" s="12"/>
    </row>
    <row r="261" spans="1:6" x14ac:dyDescent="0.2">
      <c r="A261" s="1" t="s">
        <v>260</v>
      </c>
      <c r="B261" s="2">
        <v>0</v>
      </c>
      <c r="C261" s="9"/>
      <c r="D261" s="11"/>
      <c r="E261" s="13"/>
      <c r="F261" s="12"/>
    </row>
    <row r="262" spans="1:6" x14ac:dyDescent="0.2">
      <c r="A262" s="1" t="s">
        <v>261</v>
      </c>
      <c r="B262" s="2">
        <v>0</v>
      </c>
      <c r="C262" s="9"/>
      <c r="D262" s="11"/>
      <c r="E262" s="13"/>
      <c r="F26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Risk@Asset1.Capital</dc:creator>
  <cp:lastModifiedBy>Risk@Asset1.Capital</cp:lastModifiedBy>
  <dcterms:created xsi:type="dcterms:W3CDTF">2021-09-01T16:39:58Z</dcterms:created>
  <dcterms:modified xsi:type="dcterms:W3CDTF">2021-09-02T13:28:10Z</dcterms:modified>
</cp:coreProperties>
</file>