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/>
  <mc:AlternateContent xmlns:mc="http://schemas.openxmlformats.org/markup-compatibility/2006">
    <mc:Choice Requires="x15">
      <x15ac:absPath xmlns:x15ac="http://schemas.microsoft.com/office/spreadsheetml/2010/11/ac" url="C:\Users\mauricio.pereira\Documents\GitHub\risk_report\xls\"/>
    </mc:Choice>
  </mc:AlternateContent>
  <xr:revisionPtr revIDLastSave="0" documentId="13_ncr:1_{A6FF4794-0BC9-42A5-B188-4D110384BAF6}" xr6:coauthVersionLast="47" xr6:coauthVersionMax="47" xr10:uidLastSave="{00000000-0000-0000-0000-000000000000}"/>
  <bookViews>
    <workbookView xWindow="-120" yWindow="-120" windowWidth="20730" windowHeight="11160" xr2:uid="{D106072F-4073-4219-8632-555EF5834974}"/>
  </bookViews>
  <sheets>
    <sheet name="Cover" sheetId="2" r:id="rId1"/>
    <sheet name="_model_" sheetId="1" r:id="rId2"/>
  </sheets>
  <definedNames>
    <definedName name="DataD1">Cover!$S$1</definedName>
    <definedName name="DataRef">Cover!$J$1</definedName>
    <definedName name="fund">Cover!$E$1</definedName>
    <definedName name="NAV">Cover!$O$1</definedName>
    <definedName name="_xlnm.Print_Area" localSheetId="1">_model_!$A$1:$O$68</definedName>
    <definedName name="_xlnm.Print_Area" localSheetId="0">Cover!$A$1:$O$68</definedName>
    <definedName name="trader_name">_model_!$A$3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" i="1" l="1"/>
  <c r="O1" i="1"/>
  <c r="E1" i="1" l="1"/>
</calcChain>
</file>

<file path=xl/sharedStrings.xml><?xml version="1.0" encoding="utf-8"?>
<sst xmlns="http://schemas.openxmlformats.org/spreadsheetml/2006/main" count="12" uniqueCount="10">
  <si>
    <t xml:space="preserve">Date: </t>
  </si>
  <si>
    <t xml:space="preserve">NAV (BRL): </t>
  </si>
  <si>
    <t>Data D-1:</t>
  </si>
  <si>
    <t>Historical VaR and Vol</t>
  </si>
  <si>
    <t>Risk Share (%)</t>
  </si>
  <si>
    <t>Performance and Drawdown</t>
  </si>
  <si>
    <t>Monthly Performance</t>
  </si>
  <si>
    <t>Histogram of Monthly Returns</t>
  </si>
  <si>
    <t>trader_name</t>
  </si>
  <si>
    <t>A1 Master FIM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</si>
</sst>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344147"/>
      <name val="Calibri"/>
      <family val="2"/>
      <scheme val="minor"/>
    </font>
    <font>
      <b/>
      <sz val="11"/>
      <color rgb="FF344147"/>
      <name val="Calibri"/>
      <family val="2"/>
      <scheme val="minor"/>
    </font>
    <font>
      <b/>
      <i/>
      <sz val="16"/>
      <color rgb="FF344147"/>
      <name val="AmpleSoft Pro Regular"/>
    </font>
    <font>
      <b/>
      <sz val="11"/>
      <color rgb="FF344147"/>
      <name val="AmpleSoft Pro Regular"/>
    </font>
    <font>
      <b/>
      <sz val="12"/>
      <color rgb="FF344147"/>
      <name val="AmpleSoft Pro Regular"/>
    </font>
    <font>
      <b/>
      <sz val="11"/>
      <name val="Calibri"/>
      <family val="2"/>
      <scheme val="minor"/>
    </font>
    <font>
      <b/>
      <sz val="14"/>
      <color theme="0"/>
      <name val="AmpleSoft Pro Regula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344147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0"/>
      <name val="AmpleSoft Pro Bold"/>
    </font>
    <font>
      <b/>
      <sz val="14"/>
      <color theme="0"/>
      <name val="AmpleSoft Pro Bold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5" fillId="0" borderId="1" xfId="0" applyFont="1" applyBorder="1"/>
    <xf numFmtId="0" fontId="6" fillId="0" borderId="1" xfId="0" applyFont="1" applyBorder="1" applyAlignment="1">
      <alignment horizontal="right"/>
    </xf>
    <xf numFmtId="15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Continuous"/>
    </xf>
    <xf numFmtId="3" fontId="5" fillId="0" borderId="1" xfId="0" applyNumberFormat="1" applyFont="1" applyBorder="1"/>
    <xf numFmtId="0" fontId="1" fillId="0" borderId="0" xfId="0" applyFont="1"/>
    <xf numFmtId="0" fontId="7" fillId="0" borderId="2" xfId="0" applyFont="1" applyBorder="1"/>
    <xf numFmtId="15" fontId="7" fillId="0" borderId="3" xfId="0" applyNumberFormat="1" applyFont="1" applyBorder="1"/>
    <xf numFmtId="0" fontId="8" fillId="2" borderId="0" xfId="0" applyFont="1" applyFill="1"/>
    <xf numFmtId="0" fontId="9" fillId="2" borderId="0" xfId="0" applyFont="1" applyFill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9" fillId="0" borderId="0" xfId="0" applyFont="1" applyFill="1"/>
    <xf numFmtId="0" fontId="13" fillId="3" borderId="0" xfId="0" applyFont="1" applyFill="1"/>
    <xf numFmtId="0" fontId="14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sv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19050</xdr:colOff>
      <xdr:row>0</xdr:row>
      <xdr:rowOff>590840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34B565-C938-448D-9A6A-C2FBF4487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28750" cy="5908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19050</xdr:colOff>
      <xdr:row>0</xdr:row>
      <xdr:rowOff>590840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F567336-99F9-4661-8240-B6471F755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28750" cy="590840"/>
        </a:xfrm>
        <a:prstGeom prst="rect">
          <a:avLst/>
        </a:prstGeom>
      </xdr:spPr>
    </xdr:pic>
    <xdr:clientData/>
  </xdr:twoCellAnchor>
  <xdr:twoCellAnchor editAs="oneCell">
    <xdr:from>
      <xdr:col>11</xdr:col>
      <xdr:colOff>11906</xdr:colOff>
      <xdr:row>19</xdr:row>
      <xdr:rowOff>0</xdr:rowOff>
    </xdr:from>
    <xdr:to>
      <xdr:col>14</xdr:col>
      <xdr:colOff>1035843</xdr:colOff>
      <xdr:row>36</xdr:row>
      <xdr:rowOff>-1</xdr:rowOff>
    </xdr:to>
    <xdr:pic>
      <xdr:nvPicPr>
        <xdr:cNvPr id="5" name="trader_perf_histogram">
          <a:extLst>
            <a:ext uri="{FF2B5EF4-FFF2-40B4-BE49-F238E27FC236}">
              <a16:creationId xmlns:a16="http://schemas.microsoft.com/office/drawing/2014/main" id="{A6687DEB-A2E1-44D2-A928-9241DC5F9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6107906" y="4071938"/>
          <a:ext cx="2762250" cy="32861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47624</xdr:rowOff>
    </xdr:from>
    <xdr:to>
      <xdr:col>3</xdr:col>
      <xdr:colOff>11906</xdr:colOff>
      <xdr:row>17</xdr:row>
      <xdr:rowOff>142874</xdr:rowOff>
    </xdr:to>
    <xdr:pic>
      <xdr:nvPicPr>
        <xdr:cNvPr id="6" name="pie_riskshare">
          <a:extLst>
            <a:ext uri="{FF2B5EF4-FFF2-40B4-BE49-F238E27FC236}">
              <a16:creationId xmlns:a16="http://schemas.microsoft.com/office/drawing/2014/main" id="{0393A152-A629-424F-8D8C-174AA6329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0" y="1595437"/>
          <a:ext cx="2119312" cy="2190750"/>
        </a:xfrm>
        <a:prstGeom prst="rect">
          <a:avLst/>
        </a:prstGeom>
      </xdr:spPr>
    </xdr:pic>
    <xdr:clientData/>
  </xdr:twoCellAnchor>
  <xdr:twoCellAnchor editAs="oneCell">
    <xdr:from>
      <xdr:col>4</xdr:col>
      <xdr:colOff>23812</xdr:colOff>
      <xdr:row>3</xdr:row>
      <xdr:rowOff>35718</xdr:rowOff>
    </xdr:from>
    <xdr:to>
      <xdr:col>14</xdr:col>
      <xdr:colOff>1023937</xdr:colOff>
      <xdr:row>17</xdr:row>
      <xdr:rowOff>142874</xdr:rowOff>
    </xdr:to>
    <xdr:pic>
      <xdr:nvPicPr>
        <xdr:cNvPr id="13" name="trader_hist_var_vol">
          <a:extLst>
            <a:ext uri="{FF2B5EF4-FFF2-40B4-BE49-F238E27FC236}">
              <a16:creationId xmlns:a16="http://schemas.microsoft.com/office/drawing/2014/main" id="{FB5D9F1C-7BF3-4611-8E56-AC8A1F1B6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2214562" y="964406"/>
          <a:ext cx="6643688" cy="28217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35718</xdr:rowOff>
    </xdr:from>
    <xdr:to>
      <xdr:col>9</xdr:col>
      <xdr:colOff>857250</xdr:colOff>
      <xdr:row>35</xdr:row>
      <xdr:rowOff>166688</xdr:rowOff>
    </xdr:to>
    <xdr:pic>
      <xdr:nvPicPr>
        <xdr:cNvPr id="14" name="trader_perf_dd">
          <a:extLst>
            <a:ext uri="{FF2B5EF4-FFF2-40B4-BE49-F238E27FC236}">
              <a16:creationId xmlns:a16="http://schemas.microsoft.com/office/drawing/2014/main" id="{C4765C8F-FE72-4EAE-BB11-4A55FF436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0" y="4107656"/>
          <a:ext cx="5976938" cy="32265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47624</xdr:rowOff>
    </xdr:from>
    <xdr:to>
      <xdr:col>14</xdr:col>
      <xdr:colOff>1012031</xdr:colOff>
      <xdr:row>45</xdr:row>
      <xdr:rowOff>166687</xdr:rowOff>
    </xdr:to>
    <xdr:pic>
      <xdr:nvPicPr>
        <xdr:cNvPr id="15" name="trader_month_ret">
          <a:extLst>
            <a:ext uri="{FF2B5EF4-FFF2-40B4-BE49-F238E27FC236}">
              <a16:creationId xmlns:a16="http://schemas.microsoft.com/office/drawing/2014/main" id="{B9F40BF7-9F73-451A-8CEE-B70D0DCC9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0" y="7643812"/>
          <a:ext cx="8846344" cy="169068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Asset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28829B"/>
      </a:accent1>
      <a:accent2>
        <a:srgbClr val="323E48"/>
      </a:accent2>
      <a:accent3>
        <a:srgbClr val="C9CBCB"/>
      </a:accent3>
      <a:accent4>
        <a:srgbClr val="748D9E"/>
      </a:accent4>
      <a:accent5>
        <a:srgbClr val="2E9AB2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70808-97AA-47F5-99F0-02E89CBCFBA3}">
  <sheetPr codeName="Sheet2">
    <pageSetUpPr fitToPage="1"/>
  </sheetPr>
  <dimension ref="A1:S45"/>
  <sheetViews>
    <sheetView showGridLines="0" tabSelected="1" view="pageBreakPreview" zoomScale="80" zoomScaleNormal="100" zoomScaleSheetLayoutView="80" workbookViewId="0">
      <selection activeCell="J1" sqref="J1"/>
    </sheetView>
  </sheetViews>
  <sheetFormatPr defaultRowHeight="15" x14ac:dyDescent="0.25"/>
  <cols>
    <col min="1" max="3" width="10.5703125" customWidth="1"/>
    <col min="4" max="4" width="1.28515625" customWidth="1"/>
    <col min="5" max="7" width="10.5703125" customWidth="1"/>
    <col min="8" max="8" width="1.5703125" customWidth="1"/>
    <col min="9" max="9" width="10.7109375" customWidth="1"/>
    <col min="10" max="10" width="13" bestFit="1" customWidth="1"/>
    <col min="11" max="11" width="1.5703125" customWidth="1"/>
    <col min="12" max="12" width="5.28515625" customWidth="1"/>
    <col min="13" max="13" width="10.7109375" customWidth="1"/>
    <col min="14" max="14" width="10" customWidth="1"/>
    <col min="15" max="15" width="15.7109375" customWidth="1"/>
    <col min="19" max="19" width="9.85546875" bestFit="1" customWidth="1"/>
  </cols>
  <sheetData>
    <row r="1" spans="1:19" s="9" customFormat="1" ht="47.45" customHeight="1" thickBot="1" x14ac:dyDescent="0.4">
      <c r="A1" s="1"/>
      <c r="B1" s="2"/>
      <c r="C1" s="2"/>
      <c r="D1" s="2"/>
      <c r="E1" s="3" t="s">
        <v>9</v>
      </c>
      <c r="F1" s="4"/>
      <c r="G1" s="4"/>
      <c r="H1" s="4"/>
      <c r="I1" s="5" t="s">
        <v>0</v>
      </c>
      <c r="J1" s="6">
        <v>44613</v>
      </c>
      <c r="K1" s="6"/>
      <c r="L1" s="7"/>
      <c r="M1" s="7"/>
      <c r="N1" s="5" t="s">
        <v>1</v>
      </c>
      <c r="O1" s="8">
        <v>1</v>
      </c>
      <c r="R1" s="10" t="s">
        <v>2</v>
      </c>
      <c r="S1" s="11">
        <v>44610</v>
      </c>
    </row>
    <row r="2" spans="1:19" ht="5.45" customHeight="1" x14ac:dyDescent="0.25"/>
    <row r="3" spans="1:19" s="14" customFormat="1" ht="20.25" x14ac:dyDescent="0.3">
      <c r="A3" s="18"/>
      <c r="B3" s="19"/>
      <c r="C3" s="19"/>
      <c r="D3" s="17"/>
      <c r="E3" s="12"/>
      <c r="F3" s="12"/>
      <c r="G3" s="12"/>
      <c r="H3" s="12"/>
      <c r="I3" s="12"/>
      <c r="J3" s="13"/>
      <c r="K3" s="13"/>
      <c r="L3" s="13"/>
      <c r="M3" s="13"/>
      <c r="N3" s="13"/>
      <c r="O3" s="13"/>
    </row>
    <row r="4" spans="1:19" x14ac:dyDescent="0.25">
      <c r="A4" s="15"/>
      <c r="B4" s="15"/>
      <c r="C4" s="15"/>
      <c r="D4" s="15"/>
      <c r="E4" s="15"/>
      <c r="F4" s="15"/>
      <c r="G4" s="15"/>
    </row>
    <row r="35" spans="1:15" s="16" customFormat="1" ht="18.75" x14ac:dyDescent="0.3"/>
    <row r="45" spans="1:15" s="16" customFormat="1" ht="18.75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</row>
  </sheetData>
  <printOptions horizontalCentered="1"/>
  <pageMargins left="0.25" right="0.25" top="0.5" bottom="0.5" header="0.3" footer="0.3"/>
  <pageSetup paperSize="9" scale="74" orientation="portrait" r:id="rId1"/>
  <headerFooter>
    <oddFooter>&amp;C&amp;P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82665-0A34-48DD-A1CE-1571844A6864}">
  <sheetPr codeName="Sheet1">
    <pageSetUpPr fitToPage="1"/>
  </sheetPr>
  <dimension ref="A1:O47"/>
  <sheetViews>
    <sheetView showGridLines="0" view="pageBreakPreview" zoomScale="80" zoomScaleNormal="100" zoomScaleSheetLayoutView="80" workbookViewId="0">
      <selection activeCell="A3" sqref="A3"/>
    </sheetView>
  </sheetViews>
  <sheetFormatPr defaultRowHeight="15" x14ac:dyDescent="0.25"/>
  <cols>
    <col min="1" max="3" width="10.5703125" customWidth="1"/>
    <col min="4" max="4" width="1.28515625" customWidth="1"/>
    <col min="5" max="7" width="10.5703125" customWidth="1"/>
    <col min="8" max="8" width="1.5703125" customWidth="1"/>
    <col min="9" max="9" width="10.7109375" customWidth="1"/>
    <col min="10" max="10" width="13" bestFit="1" customWidth="1"/>
    <col min="11" max="11" width="1.5703125" customWidth="1"/>
    <col min="12" max="12" width="5.28515625" customWidth="1"/>
    <col min="13" max="13" width="10.7109375" customWidth="1"/>
    <col min="14" max="14" width="10" customWidth="1"/>
    <col min="15" max="15" width="15.7109375" customWidth="1"/>
  </cols>
  <sheetData>
    <row r="1" spans="1:15" s="9" customFormat="1" ht="47.45" customHeight="1" thickBot="1" x14ac:dyDescent="0.4">
      <c r="A1" s="1"/>
      <c r="B1" s="2"/>
      <c r="C1" s="2"/>
      <c r="D1" s="2"/>
      <c r="E1" s="3" t="str">
        <f>fund</f>
        <v>A1 Master FIM</v>
      </c>
      <c r="F1" s="4"/>
      <c r="G1" s="4"/>
      <c r="H1" s="4"/>
      <c r="I1" s="5" t="s">
        <v>0</v>
      </c>
      <c r="J1" s="6">
        <f>DataRef</f>
        <v>44613</v>
      </c>
      <c r="K1" s="6"/>
      <c r="L1" s="7"/>
      <c r="M1" s="7"/>
      <c r="N1" s="5" t="s">
        <v>1</v>
      </c>
      <c r="O1" s="8">
        <f>NAV</f>
        <v>1</v>
      </c>
    </row>
    <row r="2" spans="1:15" ht="5.45" customHeight="1" x14ac:dyDescent="0.25"/>
    <row r="3" spans="1:15" s="14" customFormat="1" ht="20.25" x14ac:dyDescent="0.3">
      <c r="A3" s="18" t="s">
        <v>8</v>
      </c>
      <c r="B3" s="19"/>
      <c r="C3" s="19"/>
      <c r="D3" s="17"/>
      <c r="E3" s="12" t="s">
        <v>3</v>
      </c>
      <c r="F3" s="12"/>
      <c r="G3" s="12"/>
      <c r="H3" s="12"/>
      <c r="I3" s="12"/>
      <c r="J3" s="13"/>
      <c r="K3" s="13"/>
      <c r="L3" s="13"/>
      <c r="M3" s="13"/>
      <c r="N3" s="13"/>
      <c r="O3" s="13"/>
    </row>
    <row r="4" spans="1:15" x14ac:dyDescent="0.25">
      <c r="A4" s="15"/>
      <c r="B4" s="15"/>
      <c r="C4" s="15"/>
      <c r="D4" s="15"/>
      <c r="E4" s="15"/>
      <c r="F4" s="15"/>
      <c r="G4" s="15"/>
    </row>
    <row r="6" spans="1:15" ht="18.75" x14ac:dyDescent="0.3">
      <c r="A6" s="12" t="s">
        <v>4</v>
      </c>
      <c r="B6" s="13"/>
      <c r="C6" s="13"/>
    </row>
    <row r="19" spans="1:15" s="16" customFormat="1" ht="18.75" x14ac:dyDescent="0.3">
      <c r="A19" s="12" t="s">
        <v>5</v>
      </c>
      <c r="B19" s="13"/>
      <c r="C19" s="13"/>
      <c r="D19" s="13"/>
      <c r="E19" s="13"/>
      <c r="F19" s="13"/>
      <c r="G19" s="13"/>
      <c r="H19" s="13"/>
      <c r="I19" s="13"/>
      <c r="J19" s="13"/>
      <c r="K19" s="17"/>
      <c r="L19" s="13" t="s">
        <v>7</v>
      </c>
      <c r="M19" s="13"/>
      <c r="N19" s="13"/>
      <c r="O19" s="13"/>
    </row>
    <row r="35" spans="1:15" s="16" customFormat="1" ht="18.75" x14ac:dyDescent="0.3"/>
    <row r="37" spans="1:15" ht="18.75" x14ac:dyDescent="0.3">
      <c r="A37" s="12" t="s">
        <v>6</v>
      </c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</row>
    <row r="45" spans="1:15" s="16" customFormat="1" ht="18.75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</row>
    <row r="47" spans="1:15" ht="18.75" x14ac:dyDescent="0.3">
      <c r="A47" s="12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</row>
  </sheetData>
  <printOptions horizontalCentered="1"/>
  <pageMargins left="0.25" right="0.25" top="0.5" bottom="0.5" header="0.3" footer="0.3"/>
  <pageSetup paperSize="9" scale="73" orientation="portrait" r:id="rId1"/>
  <headerFooter>
    <oddFooter>&amp;C&amp;P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Cover</vt:lpstr>
      <vt:lpstr>_model_</vt:lpstr>
      <vt:lpstr>DataD1</vt:lpstr>
      <vt:lpstr>DataRef</vt:lpstr>
      <vt:lpstr>fund</vt:lpstr>
      <vt:lpstr>NAV</vt:lpstr>
      <vt:lpstr>_model_!Print_Area</vt:lpstr>
      <vt:lpstr>Cover!Print_Area</vt:lpstr>
      <vt:lpstr>trader_name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Pereira</dc:creator>
  <cp:lastModifiedBy>Mauricio Pereira</cp:lastModifiedBy>
  <cp:lastPrinted>2022-02-24T16:26:47Z</cp:lastPrinted>
  <dcterms:created xsi:type="dcterms:W3CDTF">2022-02-24T14:09:32Z</dcterms:created>
  <dcterms:modified xsi:type="dcterms:W3CDTF">2022-02-24T16:30:07Z</dcterms:modified>
</cp:coreProperties>
</file>