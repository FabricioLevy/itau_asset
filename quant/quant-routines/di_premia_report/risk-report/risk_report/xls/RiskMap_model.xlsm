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us.amaral\Documents\GitHub\risk_report\xls\"/>
    </mc:Choice>
  </mc:AlternateContent>
  <xr:revisionPtr revIDLastSave="0" documentId="13_ncr:1_{75254A2E-4400-4F4D-AC29-3A0B3F75FD71}" xr6:coauthVersionLast="47" xr6:coauthVersionMax="47" xr10:uidLastSave="{00000000-0000-0000-0000-000000000000}"/>
  <bookViews>
    <workbookView xWindow="-120" yWindow="-120" windowWidth="29040" windowHeight="15840" tabRatio="673" xr2:uid="{FFA7EFEC-A850-4F8C-8141-2231E4701779}"/>
  </bookViews>
  <sheets>
    <sheet name="Cover" sheetId="1" r:id="rId1"/>
    <sheet name="DD_BT" sheetId="2" r:id="rId2"/>
    <sheet name="FX_IR" sheetId="9" r:id="rId3"/>
    <sheet name="PV01_ByRisk" sheetId="17" r:id="rId4"/>
    <sheet name="Var_breakdown" sheetId="21" r:id="rId5"/>
    <sheet name="Equity_offshore" sheetId="20" r:id="rId6"/>
    <sheet name="Equity" sheetId="5" r:id="rId7"/>
    <sheet name="Equity_2" sheetId="6" r:id="rId8"/>
    <sheet name="Equity_3" sheetId="22" r:id="rId9"/>
    <sheet name="Eqty_Trader_Liq" sheetId="16" r:id="rId10"/>
    <sheet name="Trader" sheetId="3" r:id="rId11"/>
    <sheet name="Trader_Exposure" sheetId="10" r:id="rId12"/>
    <sheet name="Trader_Exp" sheetId="11" r:id="rId13"/>
    <sheet name="Trader_2" sheetId="7" r:id="rId14"/>
    <sheet name="Trader_STD" sheetId="13" r:id="rId15"/>
    <sheet name="Trade_Idea" sheetId="19" r:id="rId16"/>
    <sheet name="B3Fut" sheetId="4" r:id="rId17"/>
    <sheet name="B3Rolagem" sheetId="15" r:id="rId18"/>
    <sheet name="B3Eqty" sheetId="8" r:id="rId19"/>
    <sheet name="BondLiq" sheetId="23" r:id="rId20"/>
    <sheet name="RiskPolicy" sheetId="12" r:id="rId21"/>
  </sheets>
  <definedNames>
    <definedName name="Aviso">Var_breakdown!$D$1</definedName>
    <definedName name="DataD1">Cover!$Q$1</definedName>
    <definedName name="DataRef">Cover!$I$1</definedName>
    <definedName name="fund">Cover!$D$1</definedName>
    <definedName name="NAV">Cover!$M$1</definedName>
    <definedName name="_xlnm.Print_Area" localSheetId="18">B3Eqty!$A$1:$M$68</definedName>
    <definedName name="_xlnm.Print_Area" localSheetId="16">B3Fut!$A$1:$O$40</definedName>
    <definedName name="_xlnm.Print_Area" localSheetId="17">B3Rolagem!$A$1:$M$68</definedName>
    <definedName name="_xlnm.Print_Area" localSheetId="19">BondLiq!$A$1:$M$68</definedName>
    <definedName name="_xlnm.Print_Area" localSheetId="0">Cover!$A$1:$M$68</definedName>
    <definedName name="_xlnm.Print_Area" localSheetId="1">DD_BT!$A$1:$M$68</definedName>
    <definedName name="_xlnm.Print_Area" localSheetId="9">Eqty_Trader_Liq!$A$1:$O$40</definedName>
    <definedName name="_xlnm.Print_Area" localSheetId="6">Equity!$A$1:$M$68</definedName>
    <definedName name="_xlnm.Print_Area" localSheetId="7">Equity_2!$A$1:$M$68</definedName>
    <definedName name="_xlnm.Print_Area" localSheetId="8">Equity_3!$A$1:$M$68</definedName>
    <definedName name="_xlnm.Print_Area" localSheetId="5">Equity_offshore!$A$1:$M$68</definedName>
    <definedName name="_xlnm.Print_Area" localSheetId="2">FX_IR!$A$1:$M$68</definedName>
    <definedName name="_xlnm.Print_Area" localSheetId="3">PV01_ByRisk!$A$1:$M$68</definedName>
    <definedName name="_xlnm.Print_Area" localSheetId="20">RiskPolicy!$B$2:$C$12</definedName>
    <definedName name="_xlnm.Print_Area" localSheetId="15">Trade_Idea!$A$1:$M$68</definedName>
    <definedName name="_xlnm.Print_Area" localSheetId="10">Trader!$A$1:$M$68</definedName>
    <definedName name="_xlnm.Print_Area" localSheetId="13">Trader_2!$A$1:$M$68</definedName>
    <definedName name="_xlnm.Print_Area" localSheetId="12">Trader_Exp!$A$1:$J$52</definedName>
    <definedName name="_xlnm.Print_Area" localSheetId="11">Trader_Exposure!$A$1:$M$68</definedName>
    <definedName name="_xlnm.Print_Area" localSheetId="14">Trader_STD!$A$1:$M$68</definedName>
    <definedName name="_xlnm.Print_Area" localSheetId="4">Var_breakdown!$A$1:$M$20</definedName>
    <definedName name="trade_exposure_remark">Trader_Exp!$B$52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" i="23" l="1"/>
  <c r="I1" i="23"/>
  <c r="D1" i="23"/>
  <c r="M1" i="22"/>
  <c r="I1" i="22"/>
  <c r="D1" i="22"/>
  <c r="M1" i="20"/>
  <c r="I1" i="20"/>
  <c r="D1" i="20"/>
  <c r="M1" i="19"/>
  <c r="I1" i="19"/>
  <c r="D1" i="19"/>
  <c r="M1" i="17"/>
  <c r="I1" i="17"/>
  <c r="D1" i="17"/>
  <c r="O1" i="16"/>
  <c r="J1" i="16"/>
  <c r="E1" i="16"/>
  <c r="M1" i="15"/>
  <c r="I1" i="15"/>
  <c r="D1" i="15"/>
  <c r="M1" i="13"/>
  <c r="I1" i="13"/>
  <c r="D1" i="13"/>
  <c r="I1" i="11" l="1"/>
  <c r="E1" i="11"/>
  <c r="M1" i="10" l="1"/>
  <c r="I1" i="10"/>
  <c r="D1" i="10"/>
  <c r="M1" i="9" l="1"/>
  <c r="I1" i="9"/>
  <c r="D1" i="9"/>
  <c r="M1" i="8" l="1"/>
  <c r="I1" i="8"/>
  <c r="D1" i="8"/>
  <c r="M1" i="7" l="1"/>
  <c r="I1" i="7"/>
  <c r="D1" i="7"/>
  <c r="M1" i="6" l="1"/>
  <c r="I1" i="6"/>
  <c r="D1" i="6"/>
  <c r="M1" i="5" l="1"/>
  <c r="I1" i="5"/>
  <c r="D1" i="5"/>
  <c r="O1" i="4" l="1"/>
  <c r="J1" i="4"/>
  <c r="E1" i="4"/>
  <c r="D1" i="3" l="1"/>
  <c r="D1" i="2"/>
  <c r="M1" i="3" l="1"/>
  <c r="I1" i="3"/>
  <c r="I1" i="2" l="1"/>
  <c r="M1" i="2"/>
</calcChain>
</file>

<file path=xl/sharedStrings.xml><?xml version="1.0" encoding="utf-8"?>
<sst xmlns="http://schemas.openxmlformats.org/spreadsheetml/2006/main" count="96" uniqueCount="57">
  <si>
    <t>Performance</t>
  </si>
  <si>
    <t xml:space="preserve">Date: </t>
  </si>
  <si>
    <t>Historical VaR and Vol</t>
  </si>
  <si>
    <t>Equity Exposure</t>
  </si>
  <si>
    <t>Value-at-Risk</t>
  </si>
  <si>
    <t>Stress Test</t>
  </si>
  <si>
    <t>Fixed Income - PV01 (x NAV)</t>
  </si>
  <si>
    <t xml:space="preserve">NAV (BRL): </t>
  </si>
  <si>
    <t>High Watermark / Drawdown</t>
  </si>
  <si>
    <t>Backtesting</t>
  </si>
  <si>
    <t>Breakdown by Portfolio Manager</t>
  </si>
  <si>
    <t>Var and Stress</t>
  </si>
  <si>
    <t>PnL and Drawdown</t>
  </si>
  <si>
    <t>Inflation</t>
  </si>
  <si>
    <t>B3 Futures / Concentration</t>
  </si>
  <si>
    <t>DI1</t>
  </si>
  <si>
    <t>DAP</t>
  </si>
  <si>
    <t>DOL FUT</t>
  </si>
  <si>
    <t>Historical Gross and Net</t>
  </si>
  <si>
    <t>Equity Breakdown by Sector</t>
  </si>
  <si>
    <t>IBVSP FUT</t>
  </si>
  <si>
    <t>Portfolio Manager's metrics adjusted by share of Risk</t>
  </si>
  <si>
    <t>B3 Equity Turnover / Liquidity</t>
  </si>
  <si>
    <t>FX Breakdown</t>
  </si>
  <si>
    <t>DDI / SCS / SCS TERM</t>
  </si>
  <si>
    <t>Cupom Cambial by Instrument (x NAV)</t>
  </si>
  <si>
    <t>FX Exposure (% NAV)</t>
  </si>
  <si>
    <t>Portfolio Manager Exposure</t>
  </si>
  <si>
    <t>Semester to Date  - Portfolio Manager Analysis</t>
  </si>
  <si>
    <t>Gestores</t>
  </si>
  <si>
    <r>
      <t>•</t>
    </r>
    <r>
      <rPr>
        <sz val="12"/>
        <color rgb="FF000000"/>
        <rFont val="AmpleSoft Pro Regular"/>
      </rPr>
      <t xml:space="preserve">Marcelo Siniscalchi: </t>
    </r>
  </si>
  <si>
    <r>
      <t>•</t>
    </r>
    <r>
      <rPr>
        <sz val="12"/>
        <color rgb="FF000000"/>
        <rFont val="AmpleSoft Pro Regular"/>
      </rPr>
      <t xml:space="preserve">Bruno Carvalho: </t>
    </r>
  </si>
  <si>
    <r>
      <t>•</t>
    </r>
    <r>
      <rPr>
        <sz val="12"/>
        <color rgb="FF000000"/>
        <rFont val="AmpleSoft Pro Regular"/>
      </rPr>
      <t xml:space="preserve">Gabriel Blum: </t>
    </r>
  </si>
  <si>
    <r>
      <t>•</t>
    </r>
    <r>
      <rPr>
        <sz val="12"/>
        <color rgb="FF000000"/>
        <rFont val="AmpleSoft Pro Regular"/>
      </rPr>
      <t xml:space="preserve">Pedro Abinader: </t>
    </r>
  </si>
  <si>
    <r>
      <t>•</t>
    </r>
    <r>
      <rPr>
        <sz val="12"/>
        <color rgb="FF000000"/>
        <rFont val="AmpleSoft Pro Regular"/>
      </rPr>
      <t xml:space="preserve">Francisco Kops: </t>
    </r>
  </si>
  <si>
    <t>Procedimento para saída e retomada de posição:</t>
  </si>
  <si>
    <r>
      <t>•</t>
    </r>
    <r>
      <rPr>
        <sz val="12"/>
        <color rgb="FF000000"/>
        <rFont val="AmpleSoft Pro Regular"/>
      </rPr>
      <t>Comitê se reune para discutir drawdown superior a 70% do limite, com viés para redução de posição em 25%;</t>
    </r>
  </si>
  <si>
    <r>
      <t>•</t>
    </r>
    <r>
      <rPr>
        <sz val="12"/>
        <color rgb="FF000000"/>
        <rFont val="AmpleSoft Pro Regular"/>
      </rPr>
      <t xml:space="preserve">Atingindo 100% do limite, o PM é </t>
    </r>
    <r>
      <rPr>
        <i/>
        <sz val="12"/>
        <color rgb="FF000000"/>
        <rFont val="AmpleSoft Pro Regular"/>
      </rPr>
      <t>stopado:</t>
    </r>
  </si>
  <si>
    <r>
      <t>•</t>
    </r>
    <r>
      <rPr>
        <sz val="12"/>
        <color rgb="FF000000"/>
        <rFont val="AmpleSoft Pro Regular"/>
      </rPr>
      <t>Em 7 dias recupera 50% do limite de Risco;</t>
    </r>
  </si>
  <si>
    <r>
      <t>•</t>
    </r>
    <r>
      <rPr>
        <sz val="12"/>
        <color rgb="FF000000"/>
        <rFont val="AmpleSoft Pro Regular"/>
      </rPr>
      <t>Em 20 dias, recupera 100% do limite.</t>
    </r>
  </si>
  <si>
    <t>str_fund</t>
  </si>
  <si>
    <t>Mapa de Rolagem</t>
  </si>
  <si>
    <t>B3 Futures / Concentration Limits</t>
  </si>
  <si>
    <t>* values in thousands</t>
  </si>
  <si>
    <t>* Days to liquidate position using 20% of average volume of past 2 months</t>
  </si>
  <si>
    <t>Data D-1:</t>
  </si>
  <si>
    <t>Equity Breakdown by Portfolio Manager</t>
  </si>
  <si>
    <t>PV01 Breakdown - Brazil</t>
  </si>
  <si>
    <t>Trade Ideas</t>
  </si>
  <si>
    <t>VaR Breakdown by Equity</t>
  </si>
  <si>
    <t>Delta By Equity - Offshore</t>
  </si>
  <si>
    <t>Equity Breakdown - Offshore</t>
  </si>
  <si>
    <t>Equity Breakdown - Onshore</t>
  </si>
  <si>
    <t>Ibov Exposure Simulation</t>
  </si>
  <si>
    <t>SnP Exposure Simulation</t>
  </si>
  <si>
    <t>Governament Bonds Turnover / Liquidity</t>
  </si>
  <si>
    <t>USDBRL FX Exposure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</si>
</sst>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[Red]\-0.00%;\-"/>
    <numFmt numFmtId="165" formatCode="0.0%;[Red]\-0.0%;\-"/>
    <numFmt numFmtId="166" formatCode="#,##0.0_);[Red]\(#,##0.0\);\-"/>
    <numFmt numFmtId="167" formatCode="0.0%"/>
    <numFmt numFmtId="168" formatCode="#,##0.00\x;[Red]\-#,##0.00\x;\-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344147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344147"/>
      <name val="Calibri"/>
      <family val="2"/>
      <scheme val="minor"/>
    </font>
    <font>
      <b/>
      <sz val="11"/>
      <color rgb="FF344147"/>
      <name val="Calibri"/>
      <family val="2"/>
      <scheme val="minor"/>
    </font>
    <font>
      <b/>
      <sz val="14"/>
      <color theme="0"/>
      <name val="AmpleSoft Pro Regular"/>
    </font>
    <font>
      <b/>
      <i/>
      <sz val="16"/>
      <color rgb="FF344147"/>
      <name val="AmpleSoft Pro Regular"/>
    </font>
    <font>
      <b/>
      <sz val="11"/>
      <color rgb="FF344147"/>
      <name val="AmpleSoft Pro Regular"/>
    </font>
    <font>
      <b/>
      <sz val="12"/>
      <color rgb="FF344147"/>
      <name val="AmpleSoft Pro Regular"/>
    </font>
    <font>
      <b/>
      <sz val="16"/>
      <color rgb="FF344147"/>
      <name val="AmpleSoft Pro Regular"/>
    </font>
    <font>
      <sz val="11"/>
      <color theme="0"/>
      <name val="AmpleSoft Pro Regular"/>
    </font>
    <font>
      <sz val="11"/>
      <color theme="1"/>
      <name val="AmpleSoft Pro Regular"/>
    </font>
    <font>
      <b/>
      <sz val="14"/>
      <color theme="1"/>
      <name val="AmpleSoft Pro Regular"/>
    </font>
    <font>
      <sz val="14"/>
      <color theme="1"/>
      <name val="AmpleSoft Pro Regular"/>
    </font>
    <font>
      <b/>
      <sz val="12"/>
      <color theme="1"/>
      <name val="AmpleSoft Pro Regular"/>
    </font>
    <font>
      <sz val="14"/>
      <color theme="0"/>
      <name val="AmpleSoft Pro Regula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1B708B"/>
      <name val="AmpleSoft Pro Regular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mpleSoft Pro Regular"/>
    </font>
    <font>
      <sz val="12"/>
      <color theme="1"/>
      <name val="Calibri"/>
      <family val="2"/>
      <scheme val="minor"/>
    </font>
    <font>
      <i/>
      <sz val="12"/>
      <color rgb="FF000000"/>
      <name val="AmpleSoft Pro Regula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344147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/>
      <top style="hair">
        <color indexed="64"/>
      </top>
      <bottom style="mediumDashed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9">
    <xf numFmtId="0" fontId="0" fillId="0" borderId="0" xfId="0"/>
    <xf numFmtId="0" fontId="1" fillId="0" borderId="0" xfId="0" applyFont="1"/>
    <xf numFmtId="0" fontId="4" fillId="0" borderId="0" xfId="0" applyFont="1"/>
    <xf numFmtId="0" fontId="3" fillId="0" borderId="0" xfId="0" applyFont="1"/>
    <xf numFmtId="0" fontId="6" fillId="0" borderId="0" xfId="0" applyFont="1"/>
    <xf numFmtId="0" fontId="8" fillId="0" borderId="1" xfId="0" applyFont="1" applyBorder="1"/>
    <xf numFmtId="0" fontId="9" fillId="0" borderId="1" xfId="0" applyFont="1" applyBorder="1"/>
    <xf numFmtId="0" fontId="7" fillId="2" borderId="0" xfId="0" applyFont="1" applyFill="1"/>
    <xf numFmtId="0" fontId="10" fillId="2" borderId="0" xfId="0" applyFont="1" applyFill="1"/>
    <xf numFmtId="0" fontId="11" fillId="0" borderId="1" xfId="0" applyFont="1" applyBorder="1"/>
    <xf numFmtId="0" fontId="12" fillId="0" borderId="1" xfId="0" applyFont="1" applyBorder="1"/>
    <xf numFmtId="0" fontId="13" fillId="0" borderId="1" xfId="0" applyFont="1" applyBorder="1" applyAlignment="1">
      <alignment horizontal="right"/>
    </xf>
    <xf numFmtId="15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Continuous"/>
    </xf>
    <xf numFmtId="3" fontId="12" fillId="0" borderId="1" xfId="0" applyNumberFormat="1" applyFont="1" applyBorder="1"/>
    <xf numFmtId="0" fontId="14" fillId="0" borderId="2" xfId="0" applyFont="1" applyBorder="1"/>
    <xf numFmtId="0" fontId="12" fillId="0" borderId="2" xfId="0" applyFont="1" applyBorder="1"/>
    <xf numFmtId="0" fontId="13" fillId="0" borderId="2" xfId="0" applyFont="1" applyBorder="1" applyAlignment="1">
      <alignment horizontal="right"/>
    </xf>
    <xf numFmtId="15" fontId="13" fillId="0" borderId="2" xfId="0" applyNumberFormat="1" applyFont="1" applyBorder="1" applyAlignment="1">
      <alignment horizontal="center"/>
    </xf>
    <xf numFmtId="0" fontId="13" fillId="0" borderId="2" xfId="0" applyFont="1" applyBorder="1" applyAlignment="1">
      <alignment horizontal="centerContinuous"/>
    </xf>
    <xf numFmtId="3" fontId="12" fillId="0" borderId="2" xfId="0" applyNumberFormat="1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 applyAlignment="1">
      <alignment horizontal="left" indent="1"/>
    </xf>
    <xf numFmtId="0" fontId="19" fillId="3" borderId="0" xfId="0" applyFont="1" applyFill="1" applyAlignment="1">
      <alignment horizontal="left" indent="1"/>
    </xf>
    <xf numFmtId="0" fontId="19" fillId="4" borderId="0" xfId="0" applyFont="1" applyFill="1" applyAlignment="1">
      <alignment horizontal="left" indent="1"/>
    </xf>
    <xf numFmtId="0" fontId="20" fillId="0" borderId="0" xfId="0" applyFont="1"/>
    <xf numFmtId="0" fontId="0" fillId="0" borderId="1" xfId="0" applyBorder="1"/>
    <xf numFmtId="165" fontId="0" fillId="0" borderId="1" xfId="1" applyNumberFormat="1" applyFont="1" applyBorder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22" fillId="0" borderId="6" xfId="1" applyNumberFormat="1" applyFont="1" applyBorder="1" applyAlignment="1">
      <alignment horizontal="center"/>
    </xf>
    <xf numFmtId="165" fontId="0" fillId="0" borderId="11" xfId="1" applyNumberFormat="1" applyFont="1" applyBorder="1" applyAlignment="1">
      <alignment horizontal="center"/>
    </xf>
    <xf numFmtId="165" fontId="0" fillId="4" borderId="12" xfId="1" applyNumberFormat="1" applyFont="1" applyFill="1" applyBorder="1" applyAlignment="1">
      <alignment horizontal="center"/>
    </xf>
    <xf numFmtId="165" fontId="0" fillId="0" borderId="9" xfId="1" applyNumberFormat="1" applyFont="1" applyBorder="1" applyAlignment="1">
      <alignment horizontal="center"/>
    </xf>
    <xf numFmtId="165" fontId="0" fillId="4" borderId="10" xfId="1" applyNumberFormat="1" applyFont="1" applyFill="1" applyBorder="1" applyAlignment="1">
      <alignment horizontal="center"/>
    </xf>
    <xf numFmtId="165" fontId="22" fillId="0" borderId="15" xfId="1" applyNumberFormat="1" applyFont="1" applyBorder="1" applyAlignment="1">
      <alignment horizontal="center"/>
    </xf>
    <xf numFmtId="165" fontId="22" fillId="4" borderId="16" xfId="1" applyNumberFormat="1" applyFont="1" applyFill="1" applyBorder="1" applyAlignment="1">
      <alignment horizontal="center"/>
    </xf>
    <xf numFmtId="0" fontId="23" fillId="5" borderId="17" xfId="0" applyFont="1" applyFill="1" applyBorder="1" applyAlignment="1">
      <alignment horizontal="center"/>
    </xf>
    <xf numFmtId="0" fontId="23" fillId="5" borderId="18" xfId="0" applyFont="1" applyFill="1" applyBorder="1" applyAlignment="1">
      <alignment horizontal="center"/>
    </xf>
    <xf numFmtId="0" fontId="0" fillId="0" borderId="20" xfId="0" applyBorder="1" applyAlignment="1">
      <alignment horizontal="right" indent="1"/>
    </xf>
    <xf numFmtId="0" fontId="0" fillId="0" borderId="21" xfId="0" applyBorder="1" applyAlignment="1">
      <alignment horizontal="right" indent="1"/>
    </xf>
    <xf numFmtId="0" fontId="0" fillId="0" borderId="22" xfId="0" applyBorder="1" applyAlignment="1">
      <alignment horizontal="right" indent="1"/>
    </xf>
    <xf numFmtId="0" fontId="22" fillId="0" borderId="23" xfId="0" applyFont="1" applyBorder="1" applyAlignment="1">
      <alignment horizontal="right" indent="1"/>
    </xf>
    <xf numFmtId="0" fontId="24" fillId="5" borderId="19" xfId="0" applyFont="1" applyFill="1" applyBorder="1" applyAlignment="1">
      <alignment horizontal="center"/>
    </xf>
    <xf numFmtId="0" fontId="0" fillId="0" borderId="25" xfId="0" applyBorder="1" applyAlignment="1">
      <alignment horizontal="right" indent="1"/>
    </xf>
    <xf numFmtId="167" fontId="25" fillId="6" borderId="17" xfId="1" applyNumberFormat="1" applyFont="1" applyFill="1" applyBorder="1" applyAlignment="1">
      <alignment horizontal="center"/>
    </xf>
    <xf numFmtId="167" fontId="25" fillId="6" borderId="18" xfId="1" applyNumberFormat="1" applyFont="1" applyFill="1" applyBorder="1" applyAlignment="1">
      <alignment horizontal="center"/>
    </xf>
    <xf numFmtId="167" fontId="26" fillId="6" borderId="19" xfId="1" applyNumberFormat="1" applyFont="1" applyFill="1" applyBorder="1" applyAlignment="1">
      <alignment horizontal="center"/>
    </xf>
    <xf numFmtId="0" fontId="22" fillId="6" borderId="24" xfId="0" applyFont="1" applyFill="1" applyBorder="1" applyAlignment="1">
      <alignment horizontal="right"/>
    </xf>
    <xf numFmtId="165" fontId="0" fillId="0" borderId="7" xfId="1" applyNumberFormat="1" applyFont="1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26" xfId="0" applyBorder="1" applyAlignment="1">
      <alignment horizontal="right" indent="1"/>
    </xf>
    <xf numFmtId="168" fontId="0" fillId="0" borderId="27" xfId="0" applyNumberFormat="1" applyBorder="1" applyAlignment="1">
      <alignment horizontal="center"/>
    </xf>
    <xf numFmtId="168" fontId="0" fillId="0" borderId="28" xfId="0" applyNumberFormat="1" applyBorder="1" applyAlignment="1">
      <alignment horizontal="center"/>
    </xf>
    <xf numFmtId="164" fontId="0" fillId="0" borderId="17" xfId="1" applyNumberFormat="1" applyFont="1" applyBorder="1" applyAlignment="1">
      <alignment horizontal="center"/>
    </xf>
    <xf numFmtId="164" fontId="0" fillId="0" borderId="18" xfId="1" applyNumberFormat="1" applyFont="1" applyBorder="1" applyAlignment="1">
      <alignment horizontal="center"/>
    </xf>
    <xf numFmtId="164" fontId="0" fillId="4" borderId="19" xfId="1" applyNumberFormat="1" applyFont="1" applyFill="1" applyBorder="1" applyAlignment="1">
      <alignment horizontal="center"/>
    </xf>
    <xf numFmtId="165" fontId="0" fillId="4" borderId="8" xfId="1" applyNumberFormat="1" applyFont="1" applyFill="1" applyBorder="1" applyAlignment="1">
      <alignment horizontal="center"/>
    </xf>
    <xf numFmtId="168" fontId="0" fillId="4" borderId="14" xfId="0" applyNumberFormat="1" applyFill="1" applyBorder="1" applyAlignment="1">
      <alignment horizontal="center"/>
    </xf>
    <xf numFmtId="168" fontId="0" fillId="4" borderId="29" xfId="0" applyNumberFormat="1" applyFill="1" applyBorder="1" applyAlignment="1">
      <alignment horizontal="center"/>
    </xf>
    <xf numFmtId="0" fontId="27" fillId="0" borderId="0" xfId="0" applyFont="1"/>
    <xf numFmtId="0" fontId="27" fillId="0" borderId="25" xfId="0" applyFont="1" applyBorder="1" applyAlignment="1">
      <alignment horizontal="right" indent="1"/>
    </xf>
    <xf numFmtId="165" fontId="27" fillId="0" borderId="7" xfId="1" applyNumberFormat="1" applyFont="1" applyBorder="1" applyAlignment="1">
      <alignment horizontal="center"/>
    </xf>
    <xf numFmtId="165" fontId="27" fillId="0" borderId="5" xfId="1" applyNumberFormat="1" applyFont="1" applyBorder="1" applyAlignment="1">
      <alignment horizontal="center"/>
    </xf>
    <xf numFmtId="165" fontId="27" fillId="4" borderId="8" xfId="1" applyNumberFormat="1" applyFont="1" applyFill="1" applyBorder="1" applyAlignment="1">
      <alignment horizontal="center"/>
    </xf>
    <xf numFmtId="0" fontId="27" fillId="0" borderId="30" xfId="0" applyFont="1" applyBorder="1" applyAlignment="1">
      <alignment horizontal="right" indent="1"/>
    </xf>
    <xf numFmtId="165" fontId="27" fillId="0" borderId="31" xfId="1" applyNumberFormat="1" applyFont="1" applyBorder="1" applyAlignment="1">
      <alignment horizontal="center"/>
    </xf>
    <xf numFmtId="165" fontId="27" fillId="0" borderId="32" xfId="1" applyNumberFormat="1" applyFont="1" applyBorder="1" applyAlignment="1">
      <alignment horizontal="center"/>
    </xf>
    <xf numFmtId="165" fontId="27" fillId="4" borderId="33" xfId="1" applyNumberFormat="1" applyFont="1" applyFill="1" applyBorder="1" applyAlignment="1">
      <alignment horizontal="center"/>
    </xf>
    <xf numFmtId="0" fontId="27" fillId="0" borderId="34" xfId="0" applyFont="1" applyBorder="1" applyAlignment="1">
      <alignment horizontal="right" indent="1"/>
    </xf>
    <xf numFmtId="165" fontId="27" fillId="0" borderId="35" xfId="1" applyNumberFormat="1" applyFont="1" applyBorder="1" applyAlignment="1">
      <alignment horizontal="center"/>
    </xf>
    <xf numFmtId="165" fontId="27" fillId="0" borderId="36" xfId="1" applyNumberFormat="1" applyFont="1" applyBorder="1" applyAlignment="1">
      <alignment horizontal="center"/>
    </xf>
    <xf numFmtId="165" fontId="27" fillId="4" borderId="37" xfId="1" applyNumberFormat="1" applyFont="1" applyFill="1" applyBorder="1" applyAlignment="1">
      <alignment horizontal="center"/>
    </xf>
    <xf numFmtId="0" fontId="27" fillId="0" borderId="21" xfId="0" applyFont="1" applyBorder="1" applyAlignment="1">
      <alignment horizontal="right" indent="1"/>
    </xf>
    <xf numFmtId="165" fontId="27" fillId="0" borderId="9" xfId="1" applyNumberFormat="1" applyFont="1" applyBorder="1" applyAlignment="1">
      <alignment horizontal="center"/>
    </xf>
    <xf numFmtId="165" fontId="27" fillId="0" borderId="1" xfId="1" applyNumberFormat="1" applyFont="1" applyBorder="1" applyAlignment="1">
      <alignment horizontal="center"/>
    </xf>
    <xf numFmtId="165" fontId="27" fillId="4" borderId="10" xfId="1" applyNumberFormat="1" applyFont="1" applyFill="1" applyBorder="1" applyAlignment="1">
      <alignment horizontal="center"/>
    </xf>
    <xf numFmtId="0" fontId="10" fillId="0" borderId="0" xfId="0" applyFont="1"/>
    <xf numFmtId="0" fontId="22" fillId="0" borderId="38" xfId="0" applyFont="1" applyBorder="1" applyAlignment="1">
      <alignment horizontal="right" indent="1"/>
    </xf>
    <xf numFmtId="166" fontId="22" fillId="0" borderId="39" xfId="0" applyNumberFormat="1" applyFont="1" applyBorder="1" applyAlignment="1">
      <alignment horizontal="center"/>
    </xf>
    <xf numFmtId="166" fontId="22" fillId="0" borderId="40" xfId="0" applyNumberFormat="1" applyFont="1" applyBorder="1" applyAlignment="1">
      <alignment horizontal="center"/>
    </xf>
    <xf numFmtId="166" fontId="22" fillId="4" borderId="41" xfId="0" applyNumberFormat="1" applyFont="1" applyFill="1" applyBorder="1" applyAlignment="1">
      <alignment horizontal="center"/>
    </xf>
    <xf numFmtId="0" fontId="0" fillId="0" borderId="42" xfId="0" applyBorder="1" applyAlignment="1">
      <alignment horizontal="right" indent="1"/>
    </xf>
    <xf numFmtId="168" fontId="0" fillId="0" borderId="43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4" borderId="44" xfId="0" applyNumberFormat="1" applyFill="1" applyBorder="1" applyAlignment="1">
      <alignment horizontal="center"/>
    </xf>
    <xf numFmtId="0" fontId="28" fillId="0" borderId="0" xfId="0" applyFont="1" applyAlignment="1">
      <alignment horizontal="left" vertical="center" wrapText="1" readingOrder="1"/>
    </xf>
    <xf numFmtId="0" fontId="29" fillId="0" borderId="0" xfId="0" applyFont="1" applyAlignment="1">
      <alignment wrapText="1"/>
    </xf>
    <xf numFmtId="0" fontId="29" fillId="0" borderId="0" xfId="0" applyFont="1"/>
    <xf numFmtId="0" fontId="30" fillId="0" borderId="0" xfId="0" applyFont="1" applyAlignment="1">
      <alignment horizontal="left" vertical="center" wrapText="1" indent="1" readingOrder="1"/>
    </xf>
    <xf numFmtId="10" fontId="31" fillId="0" borderId="0" xfId="0" applyNumberFormat="1" applyFont="1" applyAlignment="1">
      <alignment horizontal="left" vertical="center" wrapText="1" readingOrder="1"/>
    </xf>
    <xf numFmtId="0" fontId="32" fillId="0" borderId="0" xfId="0" applyFont="1"/>
    <xf numFmtId="10" fontId="31" fillId="0" borderId="0" xfId="0" applyNumberFormat="1" applyFont="1" applyAlignment="1">
      <alignment horizontal="left" vertical="center" indent="5" readingOrder="1"/>
    </xf>
    <xf numFmtId="0" fontId="32" fillId="0" borderId="0" xfId="0" applyFont="1" applyAlignment="1">
      <alignment wrapText="1"/>
    </xf>
    <xf numFmtId="0" fontId="16" fillId="7" borderId="0" xfId="0" applyFont="1" applyFill="1"/>
    <xf numFmtId="0" fontId="16" fillId="8" borderId="0" xfId="0" applyFont="1" applyFill="1"/>
    <xf numFmtId="168" fontId="0" fillId="0" borderId="7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4" borderId="8" xfId="0" applyNumberFormat="1" applyFill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4" borderId="12" xfId="0" applyNumberFormat="1" applyFill="1" applyBorder="1" applyAlignment="1">
      <alignment horizontal="center"/>
    </xf>
    <xf numFmtId="0" fontId="34" fillId="0" borderId="45" xfId="0" applyFont="1" applyBorder="1"/>
    <xf numFmtId="15" fontId="34" fillId="0" borderId="46" xfId="0" applyNumberFormat="1" applyFont="1" applyBorder="1"/>
    <xf numFmtId="0" fontId="0" fillId="9" borderId="22" xfId="0" applyFill="1" applyBorder="1" applyAlignment="1">
      <alignment horizontal="right" indent="1"/>
    </xf>
    <xf numFmtId="168" fontId="0" fillId="9" borderId="13" xfId="0" applyNumberFormat="1" applyFill="1" applyBorder="1" applyAlignment="1">
      <alignment horizontal="center"/>
    </xf>
    <xf numFmtId="168" fontId="0" fillId="9" borderId="4" xfId="0" applyNumberFormat="1" applyFill="1" applyBorder="1" applyAlignment="1">
      <alignment horizontal="center"/>
    </xf>
    <xf numFmtId="0" fontId="0" fillId="9" borderId="42" xfId="0" applyFill="1" applyBorder="1" applyAlignment="1">
      <alignment horizontal="right" indent="1"/>
    </xf>
    <xf numFmtId="168" fontId="0" fillId="9" borderId="43" xfId="0" applyNumberFormat="1" applyFill="1" applyBorder="1" applyAlignment="1">
      <alignment horizontal="center"/>
    </xf>
    <xf numFmtId="168" fontId="0" fillId="9" borderId="0" xfId="0" applyNumberFormat="1" applyFill="1" applyAlignment="1">
      <alignment horizontal="center"/>
    </xf>
    <xf numFmtId="0" fontId="0" fillId="9" borderId="25" xfId="0" applyFill="1" applyBorder="1" applyAlignment="1">
      <alignment horizontal="right" indent="1"/>
    </xf>
    <xf numFmtId="168" fontId="0" fillId="9" borderId="7" xfId="0" applyNumberFormat="1" applyFill="1" applyBorder="1" applyAlignment="1">
      <alignment horizontal="center"/>
    </xf>
    <xf numFmtId="168" fontId="0" fillId="9" borderId="5" xfId="0" applyNumberFormat="1" applyFill="1" applyBorder="1" applyAlignment="1">
      <alignment horizontal="center"/>
    </xf>
    <xf numFmtId="0" fontId="0" fillId="9" borderId="26" xfId="0" applyFill="1" applyBorder="1" applyAlignment="1">
      <alignment horizontal="right" indent="1"/>
    </xf>
    <xf numFmtId="168" fontId="0" fillId="9" borderId="27" xfId="0" applyNumberFormat="1" applyFill="1" applyBorder="1" applyAlignment="1">
      <alignment horizontal="center"/>
    </xf>
    <xf numFmtId="168" fontId="0" fillId="9" borderId="28" xfId="0" applyNumberFormat="1" applyFill="1" applyBorder="1" applyAlignment="1">
      <alignment horizontal="center"/>
    </xf>
    <xf numFmtId="0" fontId="0" fillId="9" borderId="47" xfId="0" applyFill="1" applyBorder="1" applyAlignment="1">
      <alignment horizontal="right" indent="1"/>
    </xf>
    <xf numFmtId="168" fontId="0" fillId="9" borderId="48" xfId="0" applyNumberFormat="1" applyFill="1" applyBorder="1" applyAlignment="1">
      <alignment horizontal="center"/>
    </xf>
    <xf numFmtId="168" fontId="0" fillId="9" borderId="49" xfId="0" applyNumberFormat="1" applyFill="1" applyBorder="1" applyAlignment="1">
      <alignment horizontal="center"/>
    </xf>
    <xf numFmtId="168" fontId="0" fillId="4" borderId="50" xfId="0" applyNumberFormat="1" applyFill="1" applyBorder="1" applyAlignment="1">
      <alignment horizontal="center"/>
    </xf>
    <xf numFmtId="0" fontId="0" fillId="0" borderId="38" xfId="0" applyBorder="1" applyAlignment="1">
      <alignment horizontal="right" indent="1"/>
    </xf>
    <xf numFmtId="165" fontId="0" fillId="0" borderId="39" xfId="1" applyNumberFormat="1" applyFont="1" applyBorder="1" applyAlignment="1">
      <alignment horizontal="center"/>
    </xf>
    <xf numFmtId="165" fontId="0" fillId="0" borderId="40" xfId="1" applyNumberFormat="1" applyFont="1" applyBorder="1" applyAlignment="1">
      <alignment horizontal="center"/>
    </xf>
    <xf numFmtId="165" fontId="0" fillId="4" borderId="41" xfId="1" applyNumberFormat="1" applyFont="1" applyFill="1" applyBorder="1" applyAlignment="1">
      <alignment horizontal="center"/>
    </xf>
    <xf numFmtId="0" fontId="27" fillId="0" borderId="26" xfId="0" applyFont="1" applyBorder="1" applyAlignment="1">
      <alignment horizontal="right" indent="1"/>
    </xf>
  </cellXfs>
  <cellStyles count="2">
    <cellStyle name="Normal" xfId="0" builtinId="0"/>
    <cellStyle name="Percent" xfId="1" builtinId="5"/>
  </cellStyles>
  <dxfs count="2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2F788D"/>
      <color rgb="FF344147"/>
      <color rgb="FF3441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5" Type="http://schemas.openxmlformats.org/officeDocument/2006/relationships/image" Target="../media/image16.sv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9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svg"/><Relationship Id="rId2" Type="http://schemas.openxmlformats.org/officeDocument/2006/relationships/image" Target="../media/image21.png"/><Relationship Id="rId1" Type="http://schemas.openxmlformats.org/officeDocument/2006/relationships/image" Target="../media/image12.png"/><Relationship Id="rId5" Type="http://schemas.openxmlformats.org/officeDocument/2006/relationships/image" Target="../media/image24.svg"/><Relationship Id="rId4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svg"/><Relationship Id="rId2" Type="http://schemas.openxmlformats.org/officeDocument/2006/relationships/image" Target="../media/image27.png"/><Relationship Id="rId1" Type="http://schemas.openxmlformats.org/officeDocument/2006/relationships/image" Target="../media/image12.png"/><Relationship Id="rId5" Type="http://schemas.openxmlformats.org/officeDocument/2006/relationships/image" Target="../media/image30.svg"/><Relationship Id="rId4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svg"/><Relationship Id="rId2" Type="http://schemas.openxmlformats.org/officeDocument/2006/relationships/image" Target="../media/image31.png"/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25400</xdr:rowOff>
    </xdr:from>
    <xdr:to>
      <xdr:col>6</xdr:col>
      <xdr:colOff>21167</xdr:colOff>
      <xdr:row>34</xdr:row>
      <xdr:rowOff>0</xdr:rowOff>
    </xdr:to>
    <xdr:pic>
      <xdr:nvPicPr>
        <xdr:cNvPr id="8" name="dashboard_var_breakdow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4036483"/>
          <a:ext cx="4275667" cy="2832100"/>
        </a:xfrm>
        <a:prstGeom prst="rect">
          <a:avLst/>
        </a:prstGeom>
      </xdr:spPr>
    </xdr:pic>
    <xdr:clientData/>
  </xdr:twoCellAnchor>
  <xdr:twoCellAnchor editAs="oneCell">
    <xdr:from>
      <xdr:col>6</xdr:col>
      <xdr:colOff>87313</xdr:colOff>
      <xdr:row>3</xdr:row>
      <xdr:rowOff>12700</xdr:rowOff>
    </xdr:from>
    <xdr:to>
      <xdr:col>13</xdr:col>
      <xdr:colOff>27164</xdr:colOff>
      <xdr:row>17</xdr:row>
      <xdr:rowOff>171450</xdr:rowOff>
    </xdr:to>
    <xdr:pic>
      <xdr:nvPicPr>
        <xdr:cNvPr id="10" name="dashboard_var_vo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25938" y="917575"/>
          <a:ext cx="4381500" cy="2825750"/>
        </a:xfrm>
        <a:prstGeom prst="rect">
          <a:avLst/>
        </a:prstGeom>
      </xdr:spPr>
    </xdr:pic>
    <xdr:clientData/>
  </xdr:twoCellAnchor>
  <xdr:twoCellAnchor editAs="oneCell">
    <xdr:from>
      <xdr:col>6</xdr:col>
      <xdr:colOff>74083</xdr:colOff>
      <xdr:row>19</xdr:row>
      <xdr:rowOff>25400</xdr:rowOff>
    </xdr:from>
    <xdr:to>
      <xdr:col>13</xdr:col>
      <xdr:colOff>34572</xdr:colOff>
      <xdr:row>33</xdr:row>
      <xdr:rowOff>168275</xdr:rowOff>
    </xdr:to>
    <xdr:pic>
      <xdr:nvPicPr>
        <xdr:cNvPr id="13" name="dashboard_stres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28583" y="4036483"/>
          <a:ext cx="4434417" cy="2809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466725</xdr:colOff>
          <xdr:row>2</xdr:row>
          <xdr:rowOff>114300</xdr:rowOff>
        </xdr:from>
        <xdr:to>
          <xdr:col>18</xdr:col>
          <xdr:colOff>9525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466725</xdr:colOff>
          <xdr:row>7</xdr:row>
          <xdr:rowOff>0</xdr:rowOff>
        </xdr:from>
        <xdr:to>
          <xdr:col>18</xdr:col>
          <xdr:colOff>9525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E-mail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2250" cy="590840"/>
        </a:xfrm>
        <a:prstGeom prst="rect">
          <a:avLst/>
        </a:prstGeom>
      </xdr:spPr>
    </xdr:pic>
    <xdr:clientData/>
  </xdr:twoCellAnchor>
  <xdr:twoCellAnchor editAs="oneCell">
    <xdr:from>
      <xdr:col>6</xdr:col>
      <xdr:colOff>84667</xdr:colOff>
      <xdr:row>43</xdr:row>
      <xdr:rowOff>31750</xdr:rowOff>
    </xdr:from>
    <xdr:to>
      <xdr:col>13</xdr:col>
      <xdr:colOff>65264</xdr:colOff>
      <xdr:row>47</xdr:row>
      <xdr:rowOff>171450</xdr:rowOff>
    </xdr:to>
    <xdr:pic>
      <xdr:nvPicPr>
        <xdr:cNvPr id="26" name="dashboard_ipca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39167" y="8720667"/>
          <a:ext cx="4445000" cy="901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19050</xdr:rowOff>
    </xdr:from>
    <xdr:to>
      <xdr:col>13</xdr:col>
      <xdr:colOff>34572</xdr:colOff>
      <xdr:row>67</xdr:row>
      <xdr:rowOff>149225</xdr:rowOff>
    </xdr:to>
    <xdr:pic>
      <xdr:nvPicPr>
        <xdr:cNvPr id="28" name="dashboard_pv0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903883"/>
          <a:ext cx="8763000" cy="3559175"/>
        </a:xfrm>
        <a:prstGeom prst="rect">
          <a:avLst/>
        </a:prstGeom>
      </xdr:spPr>
    </xdr:pic>
    <xdr:clientData/>
  </xdr:twoCellAnchor>
  <xdr:twoCellAnchor editAs="oneCell">
    <xdr:from>
      <xdr:col>6</xdr:col>
      <xdr:colOff>63501</xdr:colOff>
      <xdr:row>35</xdr:row>
      <xdr:rowOff>23091</xdr:rowOff>
    </xdr:from>
    <xdr:to>
      <xdr:col>13</xdr:col>
      <xdr:colOff>65264</xdr:colOff>
      <xdr:row>41</xdr:row>
      <xdr:rowOff>187902</xdr:rowOff>
    </xdr:to>
    <xdr:pic>
      <xdr:nvPicPr>
        <xdr:cNvPr id="7" name="dashboard_equit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318001" y="7135091"/>
          <a:ext cx="4466166" cy="13078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15009</xdr:rowOff>
    </xdr:from>
    <xdr:to>
      <xdr:col>6</xdr:col>
      <xdr:colOff>42333</xdr:colOff>
      <xdr:row>47</xdr:row>
      <xdr:rowOff>188191</xdr:rowOff>
    </xdr:to>
    <xdr:pic>
      <xdr:nvPicPr>
        <xdr:cNvPr id="20" name="dashboard_fx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7127009"/>
          <a:ext cx="4296833" cy="2505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31807</xdr:rowOff>
    </xdr:from>
    <xdr:to>
      <xdr:col>6</xdr:col>
      <xdr:colOff>22411</xdr:colOff>
      <xdr:row>17</xdr:row>
      <xdr:rowOff>166689</xdr:rowOff>
    </xdr:to>
    <xdr:pic>
      <xdr:nvPicPr>
        <xdr:cNvPr id="11" name="dashboard_performanc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6682"/>
          <a:ext cx="4261036" cy="28018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31750</xdr:rowOff>
    </xdr:from>
    <xdr:to>
      <xdr:col>13</xdr:col>
      <xdr:colOff>8731</xdr:colOff>
      <xdr:row>32</xdr:row>
      <xdr:rowOff>169862</xdr:rowOff>
    </xdr:to>
    <xdr:pic>
      <xdr:nvPicPr>
        <xdr:cNvPr id="18" name="drawdown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6625"/>
          <a:ext cx="8691562" cy="5707062"/>
        </a:xfrm>
        <a:prstGeom prst="rect">
          <a:avLst/>
        </a:prstGeom>
        <a:ln w="3175">
          <a:solidFill>
            <a:schemeClr val="accent1"/>
          </a:solidFill>
        </a:ln>
        <a:effectLst/>
      </xdr:spPr>
    </xdr:pic>
    <xdr:clientData/>
  </xdr:twoCellAnchor>
  <xdr:twoCellAnchor editAs="oneCell">
    <xdr:from>
      <xdr:col>0</xdr:col>
      <xdr:colOff>0</xdr:colOff>
      <xdr:row>34</xdr:row>
      <xdr:rowOff>11906</xdr:rowOff>
    </xdr:from>
    <xdr:to>
      <xdr:col>13</xdr:col>
      <xdr:colOff>6577</xdr:colOff>
      <xdr:row>67</xdr:row>
      <xdr:rowOff>188119</xdr:rowOff>
    </xdr:to>
    <xdr:pic>
      <xdr:nvPicPr>
        <xdr:cNvPr id="44" name="backtest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6917531"/>
          <a:ext cx="8689408" cy="6548438"/>
        </a:xfrm>
        <a:prstGeom prst="rect">
          <a:avLst/>
        </a:prstGeom>
        <a:ln w="3175">
          <a:solidFill>
            <a:schemeClr val="accent1"/>
          </a:solidFill>
        </a:ln>
        <a:effectLst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2250" cy="5908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28575</xdr:rowOff>
    </xdr:from>
    <xdr:to>
      <xdr:col>13</xdr:col>
      <xdr:colOff>11641</xdr:colOff>
      <xdr:row>22</xdr:row>
      <xdr:rowOff>171449</xdr:rowOff>
    </xdr:to>
    <xdr:pic>
      <xdr:nvPicPr>
        <xdr:cNvPr id="6" name="map_fx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3450"/>
          <a:ext cx="8686799" cy="3809999"/>
        </a:xfrm>
        <a:prstGeom prst="rect">
          <a:avLst/>
        </a:prstGeom>
      </xdr:spPr>
    </xdr:pic>
    <xdr:clientData/>
  </xdr:twoCellAnchor>
  <xdr:twoCellAnchor>
    <xdr:from>
      <xdr:col>16</xdr:col>
      <xdr:colOff>396875</xdr:colOff>
      <xdr:row>3</xdr:row>
      <xdr:rowOff>144463</xdr:rowOff>
    </xdr:from>
    <xdr:to>
      <xdr:col>25</xdr:col>
      <xdr:colOff>333375</xdr:colOff>
      <xdr:row>15</xdr:row>
      <xdr:rowOff>158750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0875" y="1049338"/>
          <a:ext cx="5151438" cy="2300287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accent1"/>
              </a:solidFill>
              <a:latin typeface="AmpleSoft Pro Regular" panose="02000000000000000000" pitchFamily="2" charset="0"/>
            </a:rPr>
            <a:t>xx.py</a:t>
          </a:r>
        </a:p>
      </xdr:txBody>
    </xdr:sp>
    <xdr:clientData/>
  </xdr:twoCellAnchor>
  <xdr:twoCellAnchor editAs="oneCell">
    <xdr:from>
      <xdr:col>0</xdr:col>
      <xdr:colOff>0</xdr:colOff>
      <xdr:row>24</xdr:row>
      <xdr:rowOff>28576</xdr:rowOff>
    </xdr:from>
    <xdr:to>
      <xdr:col>13</xdr:col>
      <xdr:colOff>28575</xdr:colOff>
      <xdr:row>34</xdr:row>
      <xdr:rowOff>219075</xdr:rowOff>
    </xdr:to>
    <xdr:pic>
      <xdr:nvPicPr>
        <xdr:cNvPr id="32" name="ir_cpCambia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5029201"/>
          <a:ext cx="8705850" cy="20954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9525</xdr:rowOff>
    </xdr:from>
    <xdr:to>
      <xdr:col>13</xdr:col>
      <xdr:colOff>9513</xdr:colOff>
      <xdr:row>68</xdr:row>
      <xdr:rowOff>9525</xdr:rowOff>
    </xdr:to>
    <xdr:pic>
      <xdr:nvPicPr>
        <xdr:cNvPr id="3" name="usdbrl_fx_op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0" y="7391400"/>
          <a:ext cx="8686788" cy="6191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28576</xdr:rowOff>
    </xdr:from>
    <xdr:to>
      <xdr:col>13</xdr:col>
      <xdr:colOff>9524</xdr:colOff>
      <xdr:row>67</xdr:row>
      <xdr:rowOff>180975</xdr:rowOff>
    </xdr:to>
    <xdr:pic>
      <xdr:nvPicPr>
        <xdr:cNvPr id="28" name="pv01_by_risk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0" y="933451"/>
          <a:ext cx="8686799" cy="124967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</xdr:colOff>
      <xdr:row>3</xdr:row>
      <xdr:rowOff>31750</xdr:rowOff>
    </xdr:from>
    <xdr:to>
      <xdr:col>11</xdr:col>
      <xdr:colOff>349250</xdr:colOff>
      <xdr:row>19</xdr:row>
      <xdr:rowOff>1767416</xdr:rowOff>
    </xdr:to>
    <xdr:pic>
      <xdr:nvPicPr>
        <xdr:cNvPr id="3" name="var_pnl_breakdown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1166" y="941917"/>
          <a:ext cx="7090834" cy="4783666"/>
        </a:xfrm>
        <a:prstGeom prst="rect">
          <a:avLst/>
        </a:prstGeom>
      </xdr:spPr>
    </xdr:pic>
    <xdr:clientData/>
  </xdr:twoCellAnchor>
  <xdr:twoCellAnchor>
    <xdr:from>
      <xdr:col>16</xdr:col>
      <xdr:colOff>465667</xdr:colOff>
      <xdr:row>6</xdr:row>
      <xdr:rowOff>10584</xdr:rowOff>
    </xdr:from>
    <xdr:to>
      <xdr:col>23</xdr:col>
      <xdr:colOff>359833</xdr:colOff>
      <xdr:row>19</xdr:row>
      <xdr:rowOff>783166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874250" y="1492251"/>
          <a:ext cx="3968750" cy="3249082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1"/>
              </a:solidFill>
              <a:latin typeface="AmpleSoft Pro Regular" panose="02000000000000000000" pitchFamily="2" charset="0"/>
            </a:rPr>
            <a:t>var_pnl_breakdown.py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21166</xdr:rowOff>
    </xdr:from>
    <xdr:to>
      <xdr:col>4</xdr:col>
      <xdr:colOff>187667</xdr:colOff>
      <xdr:row>19</xdr:row>
      <xdr:rowOff>178250</xdr:rowOff>
    </xdr:to>
    <xdr:pic>
      <xdr:nvPicPr>
        <xdr:cNvPr id="3" name="Var_breakdown_equity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0" y="931333"/>
          <a:ext cx="3024000" cy="325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21</xdr:row>
      <xdr:rowOff>8467</xdr:rowOff>
    </xdr:from>
    <xdr:to>
      <xdr:col>12</xdr:col>
      <xdr:colOff>1037167</xdr:colOff>
      <xdr:row>67</xdr:row>
      <xdr:rowOff>176741</xdr:rowOff>
    </xdr:to>
    <xdr:pic>
      <xdr:nvPicPr>
        <xdr:cNvPr id="4" name="equity_breakdown_offshor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42333" y="4453467"/>
          <a:ext cx="8710084" cy="9142941"/>
        </a:xfrm>
        <a:prstGeom prst="rect">
          <a:avLst/>
        </a:prstGeom>
      </xdr:spPr>
    </xdr:pic>
    <xdr:clientData/>
  </xdr:twoCellAnchor>
  <xdr:twoCellAnchor>
    <xdr:from>
      <xdr:col>18</xdr:col>
      <xdr:colOff>306916</xdr:colOff>
      <xdr:row>2</xdr:row>
      <xdr:rowOff>243416</xdr:rowOff>
    </xdr:from>
    <xdr:to>
      <xdr:col>23</xdr:col>
      <xdr:colOff>338667</xdr:colOff>
      <xdr:row>20</xdr:row>
      <xdr:rowOff>148166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1948583" y="910166"/>
          <a:ext cx="2942167" cy="3439583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  <a:latin typeface="AmpleSoft Pro Regular" panose="02000000000000000000" pitchFamily="2" charset="0"/>
            </a:rPr>
            <a:t>fund_equity_breakdown_on_off.py</a:t>
          </a:r>
        </a:p>
      </xdr:txBody>
    </xdr:sp>
    <xdr:clientData/>
  </xdr:twoCellAnchor>
  <xdr:twoCellAnchor editAs="oneCell">
    <xdr:from>
      <xdr:col>6</xdr:col>
      <xdr:colOff>4233</xdr:colOff>
      <xdr:row>3</xdr:row>
      <xdr:rowOff>4232</xdr:rowOff>
    </xdr:from>
    <xdr:to>
      <xdr:col>12</xdr:col>
      <xdr:colOff>1058950</xdr:colOff>
      <xdr:row>19</xdr:row>
      <xdr:rowOff>161316</xdr:rowOff>
    </xdr:to>
    <xdr:pic>
      <xdr:nvPicPr>
        <xdr:cNvPr id="6" name="Var_sector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3327400" y="914399"/>
          <a:ext cx="5446800" cy="3258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22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31751</xdr:rowOff>
    </xdr:from>
    <xdr:to>
      <xdr:col>13</xdr:col>
      <xdr:colOff>10230</xdr:colOff>
      <xdr:row>68</xdr:row>
      <xdr:rowOff>19050</xdr:rowOff>
    </xdr:to>
    <xdr:pic>
      <xdr:nvPicPr>
        <xdr:cNvPr id="8" name="equity_GrossNet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18751"/>
          <a:ext cx="8696325" cy="322579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</xdr:row>
      <xdr:rowOff>19050</xdr:rowOff>
    </xdr:from>
    <xdr:to>
      <xdr:col>13</xdr:col>
      <xdr:colOff>16303</xdr:colOff>
      <xdr:row>49</xdr:row>
      <xdr:rowOff>187325</xdr:rowOff>
    </xdr:to>
    <xdr:pic>
      <xdr:nvPicPr>
        <xdr:cNvPr id="11" name="equity_breakdown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923925"/>
          <a:ext cx="8699222" cy="911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590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23812</xdr:rowOff>
    </xdr:from>
    <xdr:to>
      <xdr:col>13</xdr:col>
      <xdr:colOff>28331</xdr:colOff>
      <xdr:row>67</xdr:row>
      <xdr:rowOff>178594</xdr:rowOff>
    </xdr:to>
    <xdr:pic>
      <xdr:nvPicPr>
        <xdr:cNvPr id="10" name="equity_sector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28687"/>
          <a:ext cx="8672269" cy="1258490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51296</xdr:rowOff>
    </xdr:from>
    <xdr:to>
      <xdr:col>13</xdr:col>
      <xdr:colOff>28331</xdr:colOff>
      <xdr:row>67</xdr:row>
      <xdr:rowOff>170546</xdr:rowOff>
    </xdr:to>
    <xdr:pic>
      <xdr:nvPicPr>
        <xdr:cNvPr id="3" name="snp_simulation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0" y="7433171"/>
          <a:ext cx="8672269" cy="61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11904</xdr:rowOff>
    </xdr:from>
    <xdr:to>
      <xdr:col>12</xdr:col>
      <xdr:colOff>988219</xdr:colOff>
      <xdr:row>35</xdr:row>
      <xdr:rowOff>1029</xdr:rowOff>
    </xdr:to>
    <xdr:pic>
      <xdr:nvPicPr>
        <xdr:cNvPr id="4" name="ibov_simulatio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0" y="916779"/>
          <a:ext cx="8560594" cy="6228000"/>
        </a:xfrm>
        <a:prstGeom prst="rect">
          <a:avLst/>
        </a:prstGeom>
      </xdr:spPr>
    </xdr:pic>
    <xdr:clientData/>
  </xdr:twoCellAnchor>
  <xdr:twoCellAnchor>
    <xdr:from>
      <xdr:col>15</xdr:col>
      <xdr:colOff>428625</xdr:colOff>
      <xdr:row>5</xdr:row>
      <xdr:rowOff>83344</xdr:rowOff>
    </xdr:from>
    <xdr:to>
      <xdr:col>23</xdr:col>
      <xdr:colOff>321469</xdr:colOff>
      <xdr:row>22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0239375" y="1369219"/>
          <a:ext cx="4560094" cy="3202781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accent1"/>
              </a:solidFill>
              <a:latin typeface="AmpleSoft Pro Regular" panose="02000000000000000000" pitchFamily="2" charset="0"/>
            </a:rPr>
            <a:t>trader_SnP_simulation.py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590550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47800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21166</xdr:rowOff>
    </xdr:from>
    <xdr:to>
      <xdr:col>14</xdr:col>
      <xdr:colOff>1040728</xdr:colOff>
      <xdr:row>39</xdr:row>
      <xdr:rowOff>158749</xdr:rowOff>
    </xdr:to>
    <xdr:pic>
      <xdr:nvPicPr>
        <xdr:cNvPr id="9" name="eqty_trader_liq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0" y="920749"/>
          <a:ext cx="10533978" cy="703791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21167</xdr:rowOff>
    </xdr:from>
    <xdr:to>
      <xdr:col>13</xdr:col>
      <xdr:colOff>19577</xdr:colOff>
      <xdr:row>29</xdr:row>
      <xdr:rowOff>169334</xdr:rowOff>
    </xdr:to>
    <xdr:pic>
      <xdr:nvPicPr>
        <xdr:cNvPr id="5" name="trader_var_vol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185334"/>
          <a:ext cx="8733894" cy="477308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31748</xdr:rowOff>
    </xdr:from>
    <xdr:to>
      <xdr:col>13</xdr:col>
      <xdr:colOff>24341</xdr:colOff>
      <xdr:row>45</xdr:row>
      <xdr:rowOff>169334</xdr:rowOff>
    </xdr:to>
    <xdr:pic>
      <xdr:nvPicPr>
        <xdr:cNvPr id="7" name="trader_var_stres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6212415"/>
          <a:ext cx="8741833" cy="28575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15875</xdr:rowOff>
    </xdr:from>
    <xdr:to>
      <xdr:col>13</xdr:col>
      <xdr:colOff>3176</xdr:colOff>
      <xdr:row>67</xdr:row>
      <xdr:rowOff>174625</xdr:rowOff>
    </xdr:to>
    <xdr:pic>
      <xdr:nvPicPr>
        <xdr:cNvPr id="54" name="trader_dd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08042"/>
          <a:ext cx="8720668" cy="40216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2250" cy="590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57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473</xdr:colOff>
      <xdr:row>3</xdr:row>
      <xdr:rowOff>31750</xdr:rowOff>
    </xdr:from>
    <xdr:to>
      <xdr:col>12</xdr:col>
      <xdr:colOff>1060683</xdr:colOff>
      <xdr:row>68</xdr:row>
      <xdr:rowOff>16933</xdr:rowOff>
    </xdr:to>
    <xdr:pic>
      <xdr:nvPicPr>
        <xdr:cNvPr id="9" name="trader_exposur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" y="941917"/>
          <a:ext cx="8730304" cy="1242483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907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28230</xdr:rowOff>
    </xdr:from>
    <xdr:to>
      <xdr:col>13</xdr:col>
      <xdr:colOff>10230</xdr:colOff>
      <xdr:row>22</xdr:row>
      <xdr:rowOff>168740</xdr:rowOff>
    </xdr:to>
    <xdr:pic>
      <xdr:nvPicPr>
        <xdr:cNvPr id="14" name="trader_maptree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8397"/>
          <a:ext cx="8752417" cy="3685926"/>
        </a:xfrm>
        <a:prstGeom prst="rect">
          <a:avLst/>
        </a:prstGeom>
      </xdr:spPr>
    </xdr:pic>
    <xdr:clientData/>
  </xdr:twoCellAnchor>
  <xdr:twoCellAnchor editAs="oneCell">
    <xdr:from>
      <xdr:col>0</xdr:col>
      <xdr:colOff>1055</xdr:colOff>
      <xdr:row>24</xdr:row>
      <xdr:rowOff>21872</xdr:rowOff>
    </xdr:from>
    <xdr:to>
      <xdr:col>13</xdr:col>
      <xdr:colOff>14460</xdr:colOff>
      <xdr:row>68</xdr:row>
      <xdr:rowOff>40922</xdr:rowOff>
    </xdr:to>
    <xdr:pic>
      <xdr:nvPicPr>
        <xdr:cNvPr id="16" name="trader_dd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" y="4876094"/>
          <a:ext cx="8734072" cy="85280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8272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26367</xdr:colOff>
      <xdr:row>3</xdr:row>
      <xdr:rowOff>25400</xdr:rowOff>
    </xdr:from>
    <xdr:to>
      <xdr:col>13</xdr:col>
      <xdr:colOff>30783</xdr:colOff>
      <xdr:row>22</xdr:row>
      <xdr:rowOff>161925</xdr:rowOff>
    </xdr:to>
    <xdr:pic>
      <xdr:nvPicPr>
        <xdr:cNvPr id="22" name="trader_retvol_std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367" y="920750"/>
          <a:ext cx="9091266" cy="35083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39153</xdr:rowOff>
    </xdr:from>
    <xdr:to>
      <xdr:col>12</xdr:col>
      <xdr:colOff>1042393</xdr:colOff>
      <xdr:row>67</xdr:row>
      <xdr:rowOff>170598</xdr:rowOff>
    </xdr:to>
    <xdr:pic>
      <xdr:nvPicPr>
        <xdr:cNvPr id="24" name="trader_dd_std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4868328"/>
          <a:ext cx="8681443" cy="843724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575" cy="590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590550</xdr:colOff>
      <xdr:row>0</xdr:row>
      <xdr:rowOff>590840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92250" cy="590840"/>
        </a:xfrm>
        <a:prstGeom prst="rect">
          <a:avLst/>
        </a:prstGeom>
      </xdr:spPr>
    </xdr:pic>
    <xdr:clientData/>
  </xdr:twoCellAnchor>
  <xdr:twoCellAnchor editAs="oneCell">
    <xdr:from>
      <xdr:col>4</xdr:col>
      <xdr:colOff>11906</xdr:colOff>
      <xdr:row>5</xdr:row>
      <xdr:rowOff>0</xdr:rowOff>
    </xdr:from>
    <xdr:to>
      <xdr:col>7</xdr:col>
      <xdr:colOff>46196</xdr:colOff>
      <xdr:row>38</xdr:row>
      <xdr:rowOff>98584</xdr:rowOff>
    </xdr:to>
    <xdr:pic>
      <xdr:nvPicPr>
        <xdr:cNvPr id="100" name="DAP Future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55094" y="1143000"/>
          <a:ext cx="2606040" cy="6492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10</xdr:col>
      <xdr:colOff>867728</xdr:colOff>
      <xdr:row>38</xdr:row>
      <xdr:rowOff>98584</xdr:rowOff>
    </xdr:to>
    <xdr:pic>
      <xdr:nvPicPr>
        <xdr:cNvPr id="102" name="DDI Future"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74469" y="1143000"/>
          <a:ext cx="2606040" cy="6492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3</xdr:col>
      <xdr:colOff>34290</xdr:colOff>
      <xdr:row>38</xdr:row>
      <xdr:rowOff>98584</xdr:rowOff>
    </xdr:to>
    <xdr:pic>
      <xdr:nvPicPr>
        <xdr:cNvPr id="104" name="DI1Future">
          <a:extLst>
            <a:ext uri="{FF2B5EF4-FFF2-40B4-BE49-F238E27FC236}">
              <a16:creationId xmlns:a16="http://schemas.microsoft.com/office/drawing/2014/main" id="{00000000-0008-0000-1000-00006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143000"/>
          <a:ext cx="2606040" cy="6492240"/>
        </a:xfrm>
        <a:prstGeom prst="rect">
          <a:avLst/>
        </a:prstGeom>
      </xdr:spPr>
    </xdr:pic>
    <xdr:clientData/>
  </xdr:twoCellAnchor>
  <xdr:twoCellAnchor editAs="oneCell">
    <xdr:from>
      <xdr:col>12</xdr:col>
      <xdr:colOff>22225</xdr:colOff>
      <xdr:row>4</xdr:row>
      <xdr:rowOff>202405</xdr:rowOff>
    </xdr:from>
    <xdr:to>
      <xdr:col>15</xdr:col>
      <xdr:colOff>9525</xdr:colOff>
      <xdr:row>21</xdr:row>
      <xdr:rowOff>178593</xdr:rowOff>
    </xdr:to>
    <xdr:pic>
      <xdr:nvPicPr>
        <xdr:cNvPr id="7" name="USDBRLFuture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75600" y="1142999"/>
          <a:ext cx="2626519" cy="3274219"/>
        </a:xfrm>
        <a:prstGeom prst="rect">
          <a:avLst/>
        </a:prstGeom>
      </xdr:spPr>
    </xdr:pic>
    <xdr:clientData/>
  </xdr:twoCellAnchor>
  <xdr:twoCellAnchor editAs="oneCell">
    <xdr:from>
      <xdr:col>12</xdr:col>
      <xdr:colOff>13495</xdr:colOff>
      <xdr:row>23</xdr:row>
      <xdr:rowOff>36013</xdr:rowOff>
    </xdr:from>
    <xdr:to>
      <xdr:col>15</xdr:col>
      <xdr:colOff>795</xdr:colOff>
      <xdr:row>38</xdr:row>
      <xdr:rowOff>148408</xdr:rowOff>
    </xdr:to>
    <xdr:pic>
      <xdr:nvPicPr>
        <xdr:cNvPr id="9" name="IBOVSPFuture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66870" y="4667544"/>
          <a:ext cx="2626519" cy="3017520"/>
        </a:xfrm>
        <a:prstGeom prst="rect">
          <a:avLst/>
        </a:prstGeom>
      </xdr:spPr>
    </xdr:pic>
    <xdr:clientData/>
  </xdr:twoCellAnchor>
  <xdr:twoCellAnchor editAs="oneCell">
    <xdr:from>
      <xdr:col>15</xdr:col>
      <xdr:colOff>323850</xdr:colOff>
      <xdr:row>0</xdr:row>
      <xdr:rowOff>201083</xdr:rowOff>
    </xdr:from>
    <xdr:to>
      <xdr:col>20</xdr:col>
      <xdr:colOff>65194</xdr:colOff>
      <xdr:row>7</xdr:row>
      <xdr:rowOff>80772</xdr:rowOff>
    </xdr:to>
    <xdr:pic>
      <xdr:nvPicPr>
        <xdr:cNvPr id="8" name="S&amp;P500 Futures - BMF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86017" y="201083"/>
          <a:ext cx="2651760" cy="1414272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423333</xdr:colOff>
      <xdr:row>8</xdr:row>
      <xdr:rowOff>99483</xdr:rowOff>
    </xdr:from>
    <xdr:to>
      <xdr:col>20</xdr:col>
      <xdr:colOff>164677</xdr:colOff>
      <xdr:row>15</xdr:row>
      <xdr:rowOff>180255</xdr:rowOff>
    </xdr:to>
    <xdr:pic>
      <xdr:nvPicPr>
        <xdr:cNvPr id="10" name="US T-Note 10 BMF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985500" y="1824566"/>
          <a:ext cx="2651760" cy="14142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57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21167</xdr:rowOff>
    </xdr:from>
    <xdr:to>
      <xdr:col>13</xdr:col>
      <xdr:colOff>21167</xdr:colOff>
      <xdr:row>29</xdr:row>
      <xdr:rowOff>7408</xdr:rowOff>
    </xdr:to>
    <xdr:pic>
      <xdr:nvPicPr>
        <xdr:cNvPr id="7" name="rolagem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31334"/>
          <a:ext cx="8731250" cy="487891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31</xdr:row>
      <xdr:rowOff>35984</xdr:rowOff>
    </xdr:from>
    <xdr:to>
      <xdr:col>13</xdr:col>
      <xdr:colOff>28155</xdr:colOff>
      <xdr:row>61</xdr:row>
      <xdr:rowOff>151342</xdr:rowOff>
    </xdr:to>
    <xdr:pic>
      <xdr:nvPicPr>
        <xdr:cNvPr id="4" name="B3_concent_limit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" y="5846234"/>
          <a:ext cx="9055735" cy="563985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57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7</xdr:colOff>
      <xdr:row>3</xdr:row>
      <xdr:rowOff>0</xdr:rowOff>
    </xdr:from>
    <xdr:to>
      <xdr:col>13</xdr:col>
      <xdr:colOff>27516</xdr:colOff>
      <xdr:row>67</xdr:row>
      <xdr:rowOff>169333</xdr:rowOff>
    </xdr:to>
    <xdr:pic>
      <xdr:nvPicPr>
        <xdr:cNvPr id="26" name="b3_eqty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" y="910167"/>
          <a:ext cx="8720659" cy="1242483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15875</xdr:colOff>
      <xdr:row>0</xdr:row>
      <xdr:rowOff>590840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5575" cy="590840"/>
        </a:xfrm>
        <a:prstGeom prst="rect">
          <a:avLst/>
        </a:prstGeom>
      </xdr:spPr>
    </xdr:pic>
    <xdr:clientData/>
  </xdr:twoCellAnchor>
  <xdr:twoCellAnchor editAs="oneCell">
    <xdr:from>
      <xdr:col>0</xdr:col>
      <xdr:colOff>7</xdr:colOff>
      <xdr:row>3</xdr:row>
      <xdr:rowOff>0</xdr:rowOff>
    </xdr:from>
    <xdr:to>
      <xdr:col>13</xdr:col>
      <xdr:colOff>27516</xdr:colOff>
      <xdr:row>67</xdr:row>
      <xdr:rowOff>169333</xdr:rowOff>
    </xdr:to>
    <xdr:pic>
      <xdr:nvPicPr>
        <xdr:cNvPr id="3" name="bond_liq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" y="904875"/>
          <a:ext cx="8695259" cy="123994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Asset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829B"/>
      </a:accent1>
      <a:accent2>
        <a:srgbClr val="323E48"/>
      </a:accent2>
      <a:accent3>
        <a:srgbClr val="C9CBCB"/>
      </a:accent3>
      <a:accent4>
        <a:srgbClr val="748D9E"/>
      </a:accent4>
      <a:accent5>
        <a:srgbClr val="2E9AB2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0FB3D-81E7-43B7-8E99-729BA272E5DE}">
  <sheetPr codeName="Sheet1">
    <pageSetUpPr fitToPage="1"/>
  </sheetPr>
  <dimension ref="A1:Q49"/>
  <sheetViews>
    <sheetView showGridLines="0" tabSelected="1" zoomScale="90" zoomScaleNormal="90" zoomScaleSheetLayoutView="80" workbookViewId="0">
      <selection activeCell="Q18" sqref="Q18"/>
    </sheetView>
  </sheetViews>
  <sheetFormatPr defaultRowHeight="15" x14ac:dyDescent="0.25"/>
  <cols>
    <col min="1" max="6" width="10.5703125" customWidth="1"/>
    <col min="7" max="7" width="1.5703125" customWidth="1"/>
    <col min="8" max="8" width="10.7109375" customWidth="1"/>
    <col min="9" max="9" width="13" bestFit="1" customWidth="1"/>
    <col min="10" max="10" width="5.28515625" customWidth="1"/>
    <col min="11" max="11" width="10.7109375" customWidth="1"/>
    <col min="12" max="12" width="10" customWidth="1"/>
    <col min="13" max="13" width="15.7109375" customWidth="1"/>
  </cols>
  <sheetData>
    <row r="1" spans="1:17" s="1" customFormat="1" ht="47.45" customHeight="1" thickBot="1" x14ac:dyDescent="0.4">
      <c r="A1" s="5"/>
      <c r="B1" s="6"/>
      <c r="C1" s="6"/>
      <c r="D1" s="9" t="s">
        <v>40</v>
      </c>
      <c r="E1" s="10"/>
      <c r="F1" s="10"/>
      <c r="G1" s="10"/>
      <c r="H1" s="11" t="s">
        <v>1</v>
      </c>
      <c r="I1" s="12">
        <v>1</v>
      </c>
      <c r="J1" s="13"/>
      <c r="K1" s="13"/>
      <c r="L1" s="11" t="s">
        <v>7</v>
      </c>
      <c r="M1" s="14">
        <v>9999999999</v>
      </c>
      <c r="P1" s="106" t="s">
        <v>45</v>
      </c>
      <c r="Q1" s="107">
        <v>1</v>
      </c>
    </row>
    <row r="2" spans="1:17" ht="5.45" customHeight="1" x14ac:dyDescent="0.25"/>
    <row r="3" spans="1:17" s="3" customFormat="1" ht="18.75" x14ac:dyDescent="0.3">
      <c r="A3" s="8" t="s">
        <v>0</v>
      </c>
      <c r="B3" s="7"/>
      <c r="C3" s="7"/>
      <c r="D3" s="7"/>
      <c r="E3" s="7"/>
      <c r="F3" s="7"/>
      <c r="H3" s="8" t="s">
        <v>2</v>
      </c>
      <c r="I3" s="7"/>
      <c r="J3" s="7"/>
      <c r="K3" s="7"/>
      <c r="L3" s="7"/>
      <c r="M3" s="7"/>
    </row>
    <row r="4" spans="1:17" x14ac:dyDescent="0.25">
      <c r="A4" s="4"/>
      <c r="B4" s="4"/>
      <c r="C4" s="4"/>
      <c r="D4" s="4"/>
      <c r="E4" s="4"/>
      <c r="F4" s="4"/>
    </row>
    <row r="19" spans="1:13" s="2" customFormat="1" ht="18.75" x14ac:dyDescent="0.3">
      <c r="A19" s="8" t="s">
        <v>4</v>
      </c>
      <c r="B19" s="7"/>
      <c r="C19" s="7"/>
      <c r="D19" s="7"/>
      <c r="E19" s="7"/>
      <c r="F19" s="7"/>
      <c r="G19" s="3"/>
      <c r="H19" s="8" t="s">
        <v>5</v>
      </c>
      <c r="I19" s="7"/>
      <c r="J19" s="7"/>
      <c r="K19" s="7"/>
      <c r="L19" s="7"/>
      <c r="M19" s="7"/>
    </row>
    <row r="35" spans="1:13" s="2" customFormat="1" ht="18.75" x14ac:dyDescent="0.3">
      <c r="A35" s="8" t="s">
        <v>26</v>
      </c>
      <c r="B35" s="7"/>
      <c r="C35" s="7"/>
      <c r="D35" s="7"/>
      <c r="E35" s="7"/>
      <c r="F35" s="7"/>
      <c r="H35" s="8" t="s">
        <v>3</v>
      </c>
      <c r="I35" s="7"/>
      <c r="J35" s="7"/>
      <c r="K35" s="7"/>
      <c r="L35" s="7"/>
      <c r="M35" s="7"/>
    </row>
    <row r="43" spans="1:13" ht="18.75" x14ac:dyDescent="0.3">
      <c r="H43" s="8" t="s">
        <v>13</v>
      </c>
      <c r="I43" s="7"/>
      <c r="J43" s="7"/>
      <c r="K43" s="7"/>
      <c r="L43" s="7"/>
      <c r="M43" s="7"/>
    </row>
    <row r="49" spans="1:13" s="2" customFormat="1" ht="18.75" x14ac:dyDescent="0.3">
      <c r="A49" s="8" t="s">
        <v>6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</row>
  </sheetData>
  <phoneticPr fontId="2" type="noConversion"/>
  <printOptions horizontalCentered="1"/>
  <pageMargins left="0.25" right="0.25" top="0.5" bottom="0.5" header="0.3" footer="0.3"/>
  <pageSetup paperSize="9" scale="74" orientation="portrait" r:id="rId1"/>
  <headerFooter>
    <oddFooter>&amp;C&amp;P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pdf">
                <anchor moveWithCells="1" sizeWithCells="1">
                  <from>
                    <xdr:col>15</xdr:col>
                    <xdr:colOff>466725</xdr:colOff>
                    <xdr:row>2</xdr:row>
                    <xdr:rowOff>114300</xdr:rowOff>
                  </from>
                  <to>
                    <xdr:col>18</xdr:col>
                    <xdr:colOff>9525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ba_EmailOutlook">
                <anchor moveWithCells="1" sizeWithCells="1">
                  <from>
                    <xdr:col>15</xdr:col>
                    <xdr:colOff>466725</xdr:colOff>
                    <xdr:row>7</xdr:row>
                    <xdr:rowOff>0</xdr:rowOff>
                  </from>
                  <to>
                    <xdr:col>18</xdr:col>
                    <xdr:colOff>9525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012C0-7E71-411B-8327-4E31D5F5F0C3}">
  <sheetPr codeName="Sheet2">
    <pageSetUpPr fitToPage="1"/>
  </sheetPr>
  <dimension ref="A1:M49"/>
  <sheetViews>
    <sheetView showGridLines="0" view="pageBreakPreview" zoomScale="80" zoomScaleNormal="80" zoomScaleSheetLayoutView="8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425781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8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4" spans="1:13" ht="18.75" x14ac:dyDescent="0.3">
      <c r="A34" s="8" t="s">
        <v>9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1:13" s="24" customFormat="1" ht="18.75" x14ac:dyDescent="0.3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4" orientation="portrait" r:id="rId1"/>
  <headerFooter>
    <oddFooter>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F8E8D-E3B6-4C87-98F9-33AB212638A5}">
  <sheetPr codeName="Sheet9">
    <pageSetUpPr fitToPage="1"/>
  </sheetPr>
  <dimension ref="A1:M49"/>
  <sheetViews>
    <sheetView showGridLines="0" view="pageBreakPreview" topLeftCell="A20" zoomScaleNormal="90" zoomScaleSheetLayoutView="100" workbookViewId="0">
      <selection activeCell="A37" sqref="A37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23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ht="18.75" x14ac:dyDescent="0.3">
      <c r="A24" s="8" t="s">
        <v>25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35" spans="1:13" s="24" customFormat="1" ht="18.75" x14ac:dyDescent="0.3"/>
    <row r="36" spans="1:13" ht="18.75" x14ac:dyDescent="0.3">
      <c r="A36" s="8" t="s">
        <v>56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42" spans="1:13" ht="18.75" x14ac:dyDescent="0.3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</row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3" orientation="portrait" r:id="rId1"/>
  <headerFooter>
    <oddFooter>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2B47-4722-4DB7-8BCC-69ED8855160C}">
  <sheetPr codeName="Sheet16">
    <pageSetUpPr fitToPage="1"/>
  </sheetPr>
  <dimension ref="A1:M49"/>
  <sheetViews>
    <sheetView showGridLines="0" view="pageBreakPreview" topLeftCell="A17" zoomScaleNormal="90" zoomScaleSheetLayoutView="100" workbookViewId="0">
      <selection activeCell="Q30" sqref="Q30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47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5" spans="1:13" s="24" customFormat="1" ht="15.75" customHeight="1" x14ac:dyDescent="0.3"/>
    <row r="42" spans="1:13" ht="18.75" x14ac:dyDescent="0.3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</row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scale="69" orientation="portrait" r:id="rId1"/>
  <headerFooter>
    <oddFooter>&amp;C&amp;P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D546-CE43-4524-A7DE-9A0EC8D543BC}">
  <sheetPr codeName="Sheet19">
    <pageSetUpPr fitToPage="1"/>
  </sheetPr>
  <dimension ref="A1:M20"/>
  <sheetViews>
    <sheetView showGridLines="0" view="pageBreakPreview" zoomScale="90" zoomScaleNormal="60" zoomScaleSheetLayoutView="90" workbookViewId="0">
      <selection activeCell="O6" sqref="O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28515625" style="22" customWidth="1"/>
    <col min="11" max="11" width="7" style="22" customWidth="1"/>
    <col min="12" max="12" width="7.7109375" style="22" customWidth="1"/>
    <col min="13" max="13" width="5.7109375" style="22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/>
      <c r="E1" s="16"/>
      <c r="F1" s="16"/>
      <c r="G1" s="16"/>
      <c r="H1" s="17"/>
      <c r="I1" s="18"/>
      <c r="J1" s="19"/>
      <c r="K1" s="19"/>
      <c r="L1" s="17"/>
      <c r="M1" s="20"/>
    </row>
    <row r="2" spans="1:13" ht="5.45" customHeight="1" x14ac:dyDescent="0.25"/>
    <row r="3" spans="1:13" s="23" customFormat="1" ht="18.75" x14ac:dyDescent="0.3">
      <c r="A3" s="8" t="s">
        <v>52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20" ht="140.25" customHeight="1" x14ac:dyDescent="0.25"/>
  </sheetData>
  <printOptions horizontalCentered="1"/>
  <pageMargins left="0.25" right="0.25" top="0.5" bottom="0.5" header="0.3" footer="0.3"/>
  <pageSetup paperSize="9" scale="86" orientation="portrait" r:id="rId1"/>
  <headerFooter>
    <oddFooter>&amp;C&amp;P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B42BD-E91E-4FF8-8103-1ED3C2118E2E}">
  <sheetPr codeName="Sheet18">
    <pageSetUpPr fitToPage="1"/>
  </sheetPr>
  <dimension ref="A1:M51"/>
  <sheetViews>
    <sheetView showGridLines="0" view="pageBreakPreview" zoomScale="90" zoomScaleNormal="60" zoomScaleSheetLayoutView="90" workbookViewId="0">
      <selection activeCell="P1" sqref="P1"/>
    </sheetView>
  </sheetViews>
  <sheetFormatPr defaultColWidth="8.7109375" defaultRowHeight="15" x14ac:dyDescent="0.25"/>
  <cols>
    <col min="1" max="4" width="10.5703125" style="22" customWidth="1"/>
    <col min="5" max="5" width="2.85546875" style="22" customWidth="1"/>
    <col min="6" max="6" width="4.42578125" style="22" customWidth="1"/>
    <col min="7" max="7" width="16.28515625" style="22" customWidth="1"/>
    <col min="8" max="8" width="10.7109375" style="22" customWidth="1"/>
    <col min="9" max="9" width="13" style="22" bestFit="1" customWidth="1"/>
    <col min="10" max="10" width="5.285156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49</v>
      </c>
      <c r="B3" s="8"/>
      <c r="C3" s="8"/>
      <c r="D3" s="8"/>
      <c r="E3" s="8"/>
      <c r="F3" s="22"/>
      <c r="G3" s="8" t="s">
        <v>50</v>
      </c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1" spans="1:13" ht="18.75" x14ac:dyDescent="0.3">
      <c r="A21" s="8" t="s">
        <v>51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34" spans="1:13" ht="18.75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s="24" customFormat="1" ht="18.75" x14ac:dyDescent="0.3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1" spans="1:13" s="23" customFormat="1" ht="18.75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</sheetData>
  <printOptions horizontalCentered="1"/>
  <pageMargins left="0.25" right="0.25" top="0.5" bottom="0.5" header="0.3" footer="0.3"/>
  <pageSetup paperSize="9" scale="73" orientation="portrait" r:id="rId1"/>
  <headerFooter>
    <oddFooter>&amp;C&amp;P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FFCC-8053-427A-A7CF-8141952707B5}">
  <sheetPr codeName="Sheet5">
    <pageSetUpPr fitToPage="1"/>
  </sheetPr>
  <dimension ref="A1:M51"/>
  <sheetViews>
    <sheetView showGridLines="0" view="pageBreakPreview" topLeftCell="A8" zoomScale="90" zoomScaleNormal="60" zoomScaleSheetLayoutView="90" workbookViewId="0">
      <selection activeCell="Q8" sqref="Q8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285156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52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4" spans="1:13" ht="18.75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s="24" customFormat="1" ht="18.75" x14ac:dyDescent="0.3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1" spans="1:13" s="23" customFormat="1" ht="18.75" x14ac:dyDescent="0.3">
      <c r="A51" s="8" t="s">
        <v>18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</sheetData>
  <printOptions horizontalCentered="1"/>
  <pageMargins left="0.25" right="0.25" top="0.5" bottom="0.5" header="0.3" footer="0.3"/>
  <pageSetup paperSize="9" scale="74" orientation="portrait" r:id="rId1"/>
  <headerFooter>
    <oddFooter>&amp;C&amp;P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378C9-D910-475D-AD41-A6919C149CE2}">
  <sheetPr codeName="Sheet6">
    <pageSetUpPr fitToPage="1"/>
  </sheetPr>
  <dimension ref="A1:M51"/>
  <sheetViews>
    <sheetView showGridLines="0" view="pageBreakPreview" zoomScale="80" zoomScaleNormal="60" zoomScaleSheetLayoutView="80" workbookViewId="0">
      <selection activeCell="P61" sqref="P61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4.710937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19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4" spans="1:13" ht="18.75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s="24" customFormat="1" ht="18.75" x14ac:dyDescent="0.3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1" spans="1:13" s="23" customFormat="1" ht="18.75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</sheetData>
  <printOptions horizontalCentered="1"/>
  <pageMargins left="0.25" right="0.25" top="0.5" bottom="0.5" header="0.3" footer="0.3"/>
  <pageSetup paperSize="9" scale="74" orientation="portrait" r:id="rId1"/>
  <headerFooter>
    <oddFooter>&amp;C&amp;P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7A697-DF2B-4E6B-8977-4B7515CB412B}">
  <sheetPr codeName="Sheet20">
    <pageSetUpPr fitToPage="1"/>
  </sheetPr>
  <dimension ref="A1:M51"/>
  <sheetViews>
    <sheetView showGridLines="0" view="pageBreakPreview" zoomScale="80" zoomScaleNormal="60" zoomScaleSheetLayoutView="80" workbookViewId="0">
      <selection activeCell="S51" sqref="S51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4.710937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4" spans="1:13" ht="18.75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s="24" customFormat="1" ht="18.75" x14ac:dyDescent="0.3"/>
    <row r="36" spans="1:13" ht="18.75" x14ac:dyDescent="0.3">
      <c r="A36" s="8" t="s">
        <v>54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1" spans="1:13" s="23" customFormat="1" ht="18.75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</sheetData>
  <printOptions horizontalCentered="1"/>
  <pageMargins left="0.25" right="0.25" top="0.5" bottom="0.5" header="0.3" footer="0.3"/>
  <pageSetup paperSize="9" scale="73" orientation="portrait" r:id="rId1"/>
  <headerFooter>
    <oddFooter>&amp;C&amp;P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E3CCD-400A-4879-BEB9-68E46194DB63}">
  <sheetPr codeName="Sheet15">
    <pageSetUpPr fitToPage="1"/>
  </sheetPr>
  <dimension ref="A1:O50"/>
  <sheetViews>
    <sheetView showGridLines="0" view="pageBreakPreview" zoomScale="90" zoomScaleNormal="80" zoomScaleSheetLayoutView="90" workbookViewId="0">
      <selection activeCell="V6" sqref="V6"/>
    </sheetView>
  </sheetViews>
  <sheetFormatPr defaultColWidth="8.7109375" defaultRowHeight="15" x14ac:dyDescent="0.25"/>
  <cols>
    <col min="1" max="3" width="12.85546875" style="22" customWidth="1"/>
    <col min="4" max="4" width="1" style="22" customWidth="1"/>
    <col min="5" max="7" width="12.85546875" style="22" customWidth="1"/>
    <col min="8" max="8" width="0.85546875" style="22" customWidth="1"/>
    <col min="9" max="11" width="13" style="22" customWidth="1"/>
    <col min="12" max="12" width="1" style="22" customWidth="1"/>
    <col min="13" max="13" width="10.42578125" style="22" customWidth="1"/>
    <col min="14" max="14" width="13" style="22" customWidth="1"/>
    <col min="15" max="15" width="16" style="22" bestFit="1" customWidth="1"/>
    <col min="16" max="16384" width="8.7109375" style="22"/>
  </cols>
  <sheetData>
    <row r="1" spans="1:15" s="21" customFormat="1" ht="47.45" customHeight="1" thickBot="1" x14ac:dyDescent="0.35">
      <c r="A1" s="15"/>
      <c r="B1" s="16"/>
      <c r="C1" s="16"/>
      <c r="D1" s="16"/>
      <c r="E1" s="9" t="str">
        <f>fund</f>
        <v>str_fund</v>
      </c>
      <c r="F1" s="16"/>
      <c r="G1" s="16"/>
      <c r="H1" s="16"/>
      <c r="I1" s="17" t="s">
        <v>1</v>
      </c>
      <c r="J1" s="18">
        <f>DataRef</f>
        <v>1</v>
      </c>
      <c r="K1" s="19"/>
      <c r="L1" s="19"/>
      <c r="M1" s="19"/>
      <c r="N1" s="17" t="s">
        <v>7</v>
      </c>
      <c r="O1" s="20">
        <f>NAV</f>
        <v>9999999999</v>
      </c>
    </row>
    <row r="2" spans="1:15" ht="5.0999999999999996" customHeight="1" x14ac:dyDescent="0.25"/>
    <row r="3" spans="1:15" s="23" customFormat="1" ht="18.75" x14ac:dyDescent="0.3">
      <c r="A3" s="8" t="s">
        <v>46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ht="10.5" customHeight="1" x14ac:dyDescent="0.25"/>
    <row r="5" spans="1:15" ht="15.75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</row>
    <row r="19" spans="1:15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3" spans="1:15" ht="15.75" x14ac:dyDescent="0.25">
      <c r="M23" s="25"/>
      <c r="N23" s="25"/>
      <c r="O23" s="25"/>
    </row>
    <row r="35" s="24" customFormat="1" ht="18.75" x14ac:dyDescent="0.3"/>
    <row r="39" ht="12.75" customHeight="1" x14ac:dyDescent="0.25"/>
    <row r="50" spans="1:15" s="24" customFormat="1" ht="18.75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</sheetData>
  <printOptions horizontalCentered="1"/>
  <pageMargins left="0.25" right="0.25" top="0.5" bottom="0.5" header="0.3" footer="0.3"/>
  <pageSetup paperSize="9" scale="85" orientation="landscape" r:id="rId1"/>
  <headerFooter>
    <oddFooter>&amp;C&amp;P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500-7849-4D34-A66F-EEB62D5D0EEF}">
  <sheetPr codeName="Sheet3">
    <pageSetUpPr fitToPage="1"/>
  </sheetPr>
  <dimension ref="A1:M49"/>
  <sheetViews>
    <sheetView showGridLines="0" view="pageBreakPreview" zoomScale="90" zoomScaleNormal="100" zoomScaleSheetLayoutView="9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10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>
      <c r="A5" s="26" t="s">
        <v>2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</row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31" spans="1:13" s="25" customFormat="1" ht="15.75" x14ac:dyDescent="0.25">
      <c r="A31" s="26" t="s">
        <v>11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5" spans="1:13" s="24" customFormat="1" ht="18.75" x14ac:dyDescent="0.3"/>
    <row r="47" spans="1:13" s="25" customFormat="1" ht="15.75" x14ac:dyDescent="0.25">
      <c r="A47" s="26" t="s">
        <v>12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</row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968C7-6A9A-4FDB-9C57-0411CA5281E4}">
  <sheetPr codeName="Sheet10">
    <pageSetUpPr fitToPage="1"/>
  </sheetPr>
  <dimension ref="A1:M49"/>
  <sheetViews>
    <sheetView showGridLines="0" view="pageBreakPreview" zoomScale="90" zoomScaleNormal="100" zoomScaleSheetLayoutView="9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425781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27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/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842E1-F000-4B23-B765-70461C180610}">
  <sheetPr codeName="Sheet11">
    <pageSetUpPr fitToPage="1"/>
  </sheetPr>
  <dimension ref="A1:J51"/>
  <sheetViews>
    <sheetView showGridLines="0" topLeftCell="A20" zoomScaleNormal="100" workbookViewId="0">
      <selection activeCell="D34" sqref="D34"/>
    </sheetView>
  </sheetViews>
  <sheetFormatPr defaultRowHeight="15" x14ac:dyDescent="0.25"/>
  <cols>
    <col min="1" max="1" width="5.140625" customWidth="1"/>
    <col min="2" max="2" width="26.28515625" customWidth="1"/>
    <col min="3" max="8" width="14" customWidth="1"/>
    <col min="9" max="9" width="16" bestFit="1" customWidth="1"/>
    <col min="10" max="10" width="3.28515625" customWidth="1"/>
  </cols>
  <sheetData>
    <row r="1" spans="1:10" ht="16.5" thickBot="1" x14ac:dyDescent="0.3">
      <c r="A1" s="17"/>
      <c r="B1" s="17"/>
      <c r="C1" s="17"/>
      <c r="D1" s="17" t="s">
        <v>1</v>
      </c>
      <c r="E1" s="18">
        <f>DataRef</f>
        <v>1</v>
      </c>
      <c r="F1" s="18"/>
      <c r="G1" s="17"/>
      <c r="H1" s="17" t="s">
        <v>7</v>
      </c>
      <c r="I1" s="20">
        <f>NAV</f>
        <v>9999999999</v>
      </c>
    </row>
    <row r="2" spans="1:10" ht="5.25" customHeight="1" x14ac:dyDescent="0.25"/>
    <row r="3" spans="1:10" s="23" customFormat="1" ht="18.75" x14ac:dyDescent="0.3">
      <c r="A3" s="8" t="s">
        <v>27</v>
      </c>
      <c r="B3" s="8"/>
      <c r="C3" s="8"/>
      <c r="D3" s="8"/>
      <c r="E3" s="8"/>
      <c r="F3" s="8"/>
      <c r="G3" s="8"/>
      <c r="H3" s="8"/>
      <c r="I3" s="8"/>
      <c r="J3" s="8"/>
    </row>
    <row r="4" spans="1:10" ht="6.75" customHeight="1" thickBot="1" x14ac:dyDescent="0.3"/>
    <row r="5" spans="1:10" ht="19.5" thickBot="1" x14ac:dyDescent="0.35">
      <c r="B5" s="29"/>
      <c r="C5" s="39"/>
      <c r="D5" s="40"/>
      <c r="E5" s="40"/>
      <c r="F5" s="40"/>
      <c r="G5" s="40"/>
      <c r="H5" s="40"/>
      <c r="I5" s="45"/>
    </row>
    <row r="6" spans="1:10" ht="19.5" thickBot="1" x14ac:dyDescent="0.35">
      <c r="B6" s="50"/>
      <c r="C6" s="47"/>
      <c r="D6" s="48"/>
      <c r="E6" s="48"/>
      <c r="F6" s="48"/>
      <c r="G6" s="48"/>
      <c r="H6" s="48"/>
      <c r="I6" s="49"/>
    </row>
    <row r="7" spans="1:10" x14ac:dyDescent="0.25">
      <c r="B7" s="124"/>
      <c r="C7" s="125"/>
      <c r="D7" s="126"/>
      <c r="E7" s="126"/>
      <c r="F7" s="126"/>
      <c r="G7" s="126"/>
      <c r="H7" s="126"/>
      <c r="I7" s="127"/>
    </row>
    <row r="8" spans="1:10" ht="15" customHeight="1" x14ac:dyDescent="0.25">
      <c r="B8" s="46"/>
      <c r="C8" s="51"/>
      <c r="D8" s="52"/>
      <c r="E8" s="52"/>
      <c r="F8" s="52"/>
      <c r="G8" s="52"/>
      <c r="H8" s="52"/>
      <c r="I8" s="61"/>
    </row>
    <row r="9" spans="1:10" ht="15" customHeight="1" thickBot="1" x14ac:dyDescent="0.3">
      <c r="B9" s="42"/>
      <c r="C9" s="35"/>
      <c r="D9" s="30"/>
      <c r="E9" s="30"/>
      <c r="F9" s="30"/>
      <c r="G9" s="30"/>
      <c r="H9" s="30"/>
      <c r="I9" s="36"/>
    </row>
    <row r="10" spans="1:10" ht="15" customHeight="1" x14ac:dyDescent="0.25">
      <c r="B10" s="43"/>
      <c r="C10" s="53"/>
      <c r="D10" s="54"/>
      <c r="E10" s="54"/>
      <c r="F10" s="54"/>
      <c r="G10" s="54"/>
      <c r="H10" s="54"/>
      <c r="I10" s="62"/>
    </row>
    <row r="11" spans="1:10" ht="15" customHeight="1" x14ac:dyDescent="0.25">
      <c r="B11" s="86"/>
      <c r="C11" s="87"/>
      <c r="D11" s="88"/>
      <c r="E11" s="88"/>
      <c r="F11" s="88"/>
      <c r="G11" s="88"/>
      <c r="H11" s="88"/>
      <c r="I11" s="89"/>
    </row>
    <row r="12" spans="1:10" ht="15" customHeight="1" thickBot="1" x14ac:dyDescent="0.3">
      <c r="B12" s="55"/>
      <c r="C12" s="56"/>
      <c r="D12" s="57"/>
      <c r="E12" s="57"/>
      <c r="F12" s="57"/>
      <c r="G12" s="57"/>
      <c r="H12" s="57"/>
      <c r="I12" s="63"/>
    </row>
    <row r="13" spans="1:10" ht="15" customHeight="1" x14ac:dyDescent="0.25">
      <c r="B13" s="108"/>
      <c r="C13" s="109"/>
      <c r="D13" s="110"/>
      <c r="E13" s="110"/>
      <c r="F13" s="110"/>
      <c r="G13" s="110"/>
      <c r="H13" s="110"/>
      <c r="I13" s="62"/>
    </row>
    <row r="14" spans="1:10" ht="15" customHeight="1" x14ac:dyDescent="0.25">
      <c r="B14" s="111"/>
      <c r="C14" s="112"/>
      <c r="D14" s="113"/>
      <c r="E14" s="113"/>
      <c r="F14" s="113"/>
      <c r="G14" s="113"/>
      <c r="H14" s="113"/>
      <c r="I14" s="89"/>
    </row>
    <row r="15" spans="1:10" ht="15" customHeight="1" thickBot="1" x14ac:dyDescent="0.3">
      <c r="B15" s="120"/>
      <c r="C15" s="121"/>
      <c r="D15" s="122"/>
      <c r="E15" s="122"/>
      <c r="F15" s="122"/>
      <c r="G15" s="122"/>
      <c r="H15" s="122"/>
      <c r="I15" s="123"/>
    </row>
    <row r="16" spans="1:10" ht="15" customHeight="1" x14ac:dyDescent="0.25">
      <c r="B16" s="114"/>
      <c r="C16" s="115"/>
      <c r="D16" s="116"/>
      <c r="E16" s="116"/>
      <c r="F16" s="116"/>
      <c r="G16" s="116"/>
      <c r="H16" s="116"/>
      <c r="I16" s="102"/>
    </row>
    <row r="17" spans="2:9" ht="15" customHeight="1" x14ac:dyDescent="0.25">
      <c r="B17" s="111"/>
      <c r="C17" s="112"/>
      <c r="D17" s="113"/>
      <c r="E17" s="113"/>
      <c r="F17" s="113"/>
      <c r="G17" s="113"/>
      <c r="H17" s="113"/>
      <c r="I17" s="89"/>
    </row>
    <row r="18" spans="2:9" ht="15" customHeight="1" thickBot="1" x14ac:dyDescent="0.3">
      <c r="B18" s="117"/>
      <c r="C18" s="118"/>
      <c r="D18" s="119"/>
      <c r="E18" s="119"/>
      <c r="F18" s="119"/>
      <c r="G18" s="119"/>
      <c r="H18" s="119"/>
      <c r="I18" s="63"/>
    </row>
    <row r="19" spans="2:9" ht="15" customHeight="1" x14ac:dyDescent="0.25">
      <c r="B19" s="41"/>
      <c r="C19" s="103"/>
      <c r="D19" s="104"/>
      <c r="E19" s="104"/>
      <c r="F19" s="104"/>
      <c r="G19" s="104"/>
      <c r="H19" s="104"/>
      <c r="I19" s="105"/>
    </row>
    <row r="20" spans="2:9" ht="15" customHeight="1" x14ac:dyDescent="0.25">
      <c r="B20" s="46"/>
      <c r="C20" s="100"/>
      <c r="D20" s="101"/>
      <c r="E20" s="101"/>
      <c r="F20" s="101"/>
      <c r="G20" s="101"/>
      <c r="H20" s="101"/>
      <c r="I20" s="102"/>
    </row>
    <row r="21" spans="2:9" ht="15" customHeight="1" x14ac:dyDescent="0.25">
      <c r="B21" s="86"/>
      <c r="C21" s="87"/>
      <c r="D21" s="88"/>
      <c r="E21" s="88"/>
      <c r="F21" s="88"/>
      <c r="G21" s="88"/>
      <c r="H21" s="88"/>
      <c r="I21" s="89"/>
    </row>
    <row r="22" spans="2:9" ht="15" customHeight="1" thickBot="1" x14ac:dyDescent="0.3">
      <c r="B22" s="55"/>
      <c r="C22" s="56"/>
      <c r="D22" s="57"/>
      <c r="E22" s="57"/>
      <c r="F22" s="57"/>
      <c r="G22" s="57"/>
      <c r="H22" s="57"/>
      <c r="I22" s="63"/>
    </row>
    <row r="23" spans="2:9" ht="15" customHeight="1" x14ac:dyDescent="0.25">
      <c r="B23" s="41"/>
      <c r="C23" s="103"/>
      <c r="D23" s="104"/>
      <c r="E23" s="104"/>
      <c r="F23" s="104"/>
      <c r="G23" s="104"/>
      <c r="H23" s="104"/>
      <c r="I23" s="105"/>
    </row>
    <row r="24" spans="2:9" ht="15" customHeight="1" x14ac:dyDescent="0.25">
      <c r="B24" s="46"/>
      <c r="C24" s="100"/>
      <c r="D24" s="101"/>
      <c r="E24" s="101"/>
      <c r="F24" s="101"/>
      <c r="G24" s="101"/>
      <c r="H24" s="101"/>
      <c r="I24" s="102"/>
    </row>
    <row r="25" spans="2:9" ht="15" customHeight="1" x14ac:dyDescent="0.25">
      <c r="B25" s="46"/>
      <c r="C25" s="100"/>
      <c r="D25" s="101"/>
      <c r="E25" s="101"/>
      <c r="F25" s="101"/>
      <c r="G25" s="101"/>
      <c r="H25" s="101"/>
      <c r="I25" s="102"/>
    </row>
    <row r="26" spans="2:9" ht="15" customHeight="1" thickBot="1" x14ac:dyDescent="0.3">
      <c r="B26" s="55"/>
      <c r="C26" s="56"/>
      <c r="D26" s="57"/>
      <c r="E26" s="57"/>
      <c r="F26" s="57"/>
      <c r="G26" s="57"/>
      <c r="H26" s="57"/>
      <c r="I26" s="63"/>
    </row>
    <row r="27" spans="2:9" ht="15" customHeight="1" x14ac:dyDescent="0.25">
      <c r="B27" s="43"/>
      <c r="C27" s="103"/>
      <c r="D27" s="104"/>
      <c r="E27" s="104"/>
      <c r="F27" s="104"/>
      <c r="G27" s="104"/>
      <c r="H27" s="104"/>
      <c r="I27" s="105"/>
    </row>
    <row r="28" spans="2:9" ht="15" customHeight="1" x14ac:dyDescent="0.25">
      <c r="B28" s="46"/>
      <c r="C28" s="100"/>
      <c r="D28" s="101"/>
      <c r="E28" s="101"/>
      <c r="F28" s="101"/>
      <c r="G28" s="101"/>
      <c r="H28" s="101"/>
      <c r="I28" s="102"/>
    </row>
    <row r="29" spans="2:9" ht="15" customHeight="1" x14ac:dyDescent="0.25">
      <c r="B29" s="46"/>
      <c r="C29" s="100"/>
      <c r="D29" s="101"/>
      <c r="E29" s="101"/>
      <c r="F29" s="101"/>
      <c r="G29" s="101"/>
      <c r="H29" s="101"/>
      <c r="I29" s="102"/>
    </row>
    <row r="30" spans="2:9" ht="15" customHeight="1" thickBot="1" x14ac:dyDescent="0.3">
      <c r="B30" s="55"/>
      <c r="C30" s="56"/>
      <c r="D30" s="57"/>
      <c r="E30" s="57"/>
      <c r="F30" s="57"/>
      <c r="G30" s="57"/>
      <c r="H30" s="57"/>
      <c r="I30" s="63"/>
    </row>
    <row r="31" spans="2:9" ht="15" customHeight="1" x14ac:dyDescent="0.25">
      <c r="B31" s="46"/>
      <c r="C31" s="100"/>
      <c r="D31" s="101"/>
      <c r="E31" s="101"/>
      <c r="F31" s="101"/>
      <c r="G31" s="101"/>
      <c r="H31" s="101"/>
      <c r="I31" s="102"/>
    </row>
    <row r="32" spans="2:9" ht="15" customHeight="1" x14ac:dyDescent="0.25">
      <c r="B32" s="46"/>
      <c r="C32" s="100"/>
      <c r="D32" s="101"/>
      <c r="E32" s="101"/>
      <c r="F32" s="101"/>
      <c r="G32" s="101"/>
      <c r="H32" s="101"/>
      <c r="I32" s="102"/>
    </row>
    <row r="33" spans="2:9" ht="15" customHeight="1" x14ac:dyDescent="0.25">
      <c r="B33" s="46"/>
      <c r="C33" s="100"/>
      <c r="D33" s="101"/>
      <c r="E33" s="101"/>
      <c r="F33" s="101"/>
      <c r="G33" s="101"/>
      <c r="H33" s="101"/>
      <c r="I33" s="102"/>
    </row>
    <row r="34" spans="2:9" ht="15" customHeight="1" thickBot="1" x14ac:dyDescent="0.3">
      <c r="B34" s="128"/>
      <c r="C34" s="100"/>
      <c r="D34" s="101"/>
      <c r="E34" s="101"/>
      <c r="F34" s="101"/>
      <c r="G34" s="101"/>
      <c r="H34" s="101"/>
      <c r="I34" s="102"/>
    </row>
    <row r="35" spans="2:9" ht="15" customHeight="1" thickBot="1" x14ac:dyDescent="0.3">
      <c r="B35" s="42"/>
      <c r="C35" s="58"/>
      <c r="D35" s="59"/>
      <c r="E35" s="59"/>
      <c r="F35" s="59"/>
      <c r="G35" s="59"/>
      <c r="H35" s="59"/>
      <c r="I35" s="60"/>
    </row>
    <row r="36" spans="2:9" ht="15" customHeight="1" x14ac:dyDescent="0.25">
      <c r="B36" s="41"/>
      <c r="C36" s="33"/>
      <c r="D36" s="31"/>
      <c r="E36" s="31"/>
      <c r="F36" s="31"/>
      <c r="G36" s="31"/>
      <c r="H36" s="31"/>
      <c r="I36" s="34"/>
    </row>
    <row r="37" spans="2:9" ht="15" customHeight="1" x14ac:dyDescent="0.25">
      <c r="B37" s="46"/>
      <c r="C37" s="51"/>
      <c r="D37" s="52"/>
      <c r="E37" s="52"/>
      <c r="F37" s="52"/>
      <c r="G37" s="52"/>
      <c r="H37" s="52"/>
      <c r="I37" s="61"/>
    </row>
    <row r="38" spans="2:9" ht="15" customHeight="1" x14ac:dyDescent="0.25">
      <c r="B38" s="65"/>
      <c r="C38" s="66"/>
      <c r="D38" s="67"/>
      <c r="E38" s="67"/>
      <c r="F38" s="67"/>
      <c r="G38" s="67"/>
      <c r="H38" s="67"/>
      <c r="I38" s="68"/>
    </row>
    <row r="39" spans="2:9" s="64" customFormat="1" ht="15" customHeight="1" x14ac:dyDescent="0.2">
      <c r="B39" s="65"/>
      <c r="C39" s="66"/>
      <c r="D39" s="67"/>
      <c r="E39" s="67"/>
      <c r="F39" s="67"/>
      <c r="G39" s="67"/>
      <c r="H39" s="67"/>
      <c r="I39" s="68"/>
    </row>
    <row r="40" spans="2:9" s="64" customFormat="1" ht="15" customHeight="1" x14ac:dyDescent="0.2">
      <c r="B40" s="73"/>
      <c r="C40" s="74"/>
      <c r="D40" s="75"/>
      <c r="E40" s="75"/>
      <c r="F40" s="75"/>
      <c r="G40" s="75"/>
      <c r="H40" s="75"/>
      <c r="I40" s="76"/>
    </row>
    <row r="41" spans="2:9" s="64" customFormat="1" ht="15" customHeight="1" x14ac:dyDescent="0.2">
      <c r="B41" s="65"/>
      <c r="C41" s="66"/>
      <c r="D41" s="67"/>
      <c r="E41" s="67"/>
      <c r="F41" s="67"/>
      <c r="G41" s="67"/>
      <c r="H41" s="67"/>
      <c r="I41" s="68"/>
    </row>
    <row r="42" spans="2:9" s="64" customFormat="1" ht="15" customHeight="1" x14ac:dyDescent="0.2">
      <c r="B42" s="65"/>
      <c r="C42" s="66"/>
      <c r="D42" s="67"/>
      <c r="E42" s="67"/>
      <c r="F42" s="67"/>
      <c r="G42" s="67"/>
      <c r="H42" s="67"/>
      <c r="I42" s="68"/>
    </row>
    <row r="43" spans="2:9" s="64" customFormat="1" ht="15" customHeight="1" x14ac:dyDescent="0.2">
      <c r="B43" s="65"/>
      <c r="C43" s="66"/>
      <c r="D43" s="67"/>
      <c r="E43" s="67"/>
      <c r="F43" s="67"/>
      <c r="G43" s="67"/>
      <c r="H43" s="67"/>
      <c r="I43" s="68"/>
    </row>
    <row r="44" spans="2:9" s="64" customFormat="1" ht="15" customHeight="1" x14ac:dyDescent="0.2">
      <c r="B44" s="65"/>
      <c r="C44" s="66"/>
      <c r="D44" s="67"/>
      <c r="E44" s="67"/>
      <c r="F44" s="67"/>
      <c r="G44" s="67"/>
      <c r="H44" s="67"/>
      <c r="I44" s="68"/>
    </row>
    <row r="45" spans="2:9" s="64" customFormat="1" ht="15" customHeight="1" x14ac:dyDescent="0.2">
      <c r="B45" s="73"/>
      <c r="C45" s="74"/>
      <c r="D45" s="75"/>
      <c r="E45" s="75"/>
      <c r="F45" s="75"/>
      <c r="G45" s="75"/>
      <c r="H45" s="75"/>
      <c r="I45" s="76"/>
    </row>
    <row r="46" spans="2:9" s="64" customFormat="1" ht="15" customHeight="1" x14ac:dyDescent="0.2">
      <c r="B46" s="69"/>
      <c r="C46" s="70"/>
      <c r="D46" s="71"/>
      <c r="E46" s="71"/>
      <c r="F46" s="71"/>
      <c r="G46" s="71"/>
      <c r="H46" s="71"/>
      <c r="I46" s="72"/>
    </row>
    <row r="47" spans="2:9" s="64" customFormat="1" ht="15" customHeight="1" x14ac:dyDescent="0.2">
      <c r="B47" s="65"/>
      <c r="C47" s="66"/>
      <c r="D47" s="67"/>
      <c r="E47" s="67"/>
      <c r="F47" s="67"/>
      <c r="G47" s="67"/>
      <c r="H47" s="67"/>
      <c r="I47" s="68"/>
    </row>
    <row r="48" spans="2:9" s="64" customFormat="1" ht="15" customHeight="1" thickBot="1" x14ac:dyDescent="0.25">
      <c r="B48" s="77"/>
      <c r="C48" s="78"/>
      <c r="D48" s="79"/>
      <c r="E48" s="79"/>
      <c r="F48" s="79"/>
      <c r="G48" s="79"/>
      <c r="H48" s="79"/>
      <c r="I48" s="80"/>
    </row>
    <row r="49" spans="2:9" s="64" customFormat="1" ht="15" customHeight="1" thickBot="1" x14ac:dyDescent="0.25">
      <c r="B49" s="77"/>
      <c r="C49" s="78"/>
      <c r="D49" s="79"/>
      <c r="E49" s="79"/>
      <c r="F49" s="79"/>
      <c r="G49" s="79"/>
      <c r="H49" s="79"/>
      <c r="I49" s="80"/>
    </row>
    <row r="50" spans="2:9" ht="15" customHeight="1" x14ac:dyDescent="0.25">
      <c r="B50" s="82"/>
      <c r="C50" s="83"/>
      <c r="D50" s="84"/>
      <c r="E50" s="84"/>
      <c r="F50" s="84"/>
      <c r="G50" s="84"/>
      <c r="H50" s="84"/>
      <c r="I50" s="85"/>
    </row>
    <row r="51" spans="2:9" ht="15" customHeight="1" thickBot="1" x14ac:dyDescent="0.3">
      <c r="B51" s="44"/>
      <c r="C51" s="37"/>
      <c r="D51" s="32"/>
      <c r="E51" s="32"/>
      <c r="F51" s="32"/>
      <c r="G51" s="32"/>
      <c r="H51" s="32"/>
      <c r="I51" s="38"/>
    </row>
  </sheetData>
  <conditionalFormatting sqref="C50:I50">
    <cfRule type="cellIs" dxfId="1" priority="2" operator="greaterThan">
      <formula>180</formula>
    </cfRule>
  </conditionalFormatting>
  <conditionalFormatting sqref="C51:I51">
    <cfRule type="cellIs" dxfId="0" priority="1" operator="greaterThan">
      <formula>0.2</formula>
    </cfRule>
  </conditionalFormatting>
  <pageMargins left="0.25" right="0.25" top="0.75" bottom="0.75" header="0.3" footer="0.3"/>
  <pageSetup paperSize="9" scale="8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0E213-AA65-4599-A3A7-A353CC15A2E6}">
  <sheetPr codeName="Sheet7">
    <pageSetUpPr fitToPage="1"/>
  </sheetPr>
  <dimension ref="A1:M49"/>
  <sheetViews>
    <sheetView showGridLines="0" view="pageBreakPreview" zoomScale="90" zoomScaleNormal="100" zoomScaleSheetLayoutView="9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425781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21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F8F03-0E68-4238-A2E1-DA06939B8B41}">
  <sheetPr codeName="Sheet13">
    <pageSetUpPr fitToPage="1"/>
  </sheetPr>
  <dimension ref="A1:M49"/>
  <sheetViews>
    <sheetView showGridLines="0" view="pageBreakPreview" zoomScaleNormal="100" zoomScaleSheetLayoutView="10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425781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28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</row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D2F3E-8D55-486B-AFC4-65239277DDD8}">
  <sheetPr codeName="Sheet17">
    <pageSetUpPr fitToPage="1"/>
  </sheetPr>
  <dimension ref="A1:M49"/>
  <sheetViews>
    <sheetView showGridLines="0" view="pageBreakPreview" zoomScale="90" zoomScaleNormal="100" zoomScaleSheetLayoutView="90" workbookViewId="0">
      <selection activeCell="Q22" sqref="Q22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5.4257812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48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/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D2912-5591-4F34-B563-69C0046E3D0D}">
  <sheetPr codeName="Sheet4">
    <pageSetUpPr fitToPage="1"/>
  </sheetPr>
  <dimension ref="A1:O50"/>
  <sheetViews>
    <sheetView showGridLines="0" view="pageBreakPreview" topLeftCell="C1" zoomScale="90" zoomScaleNormal="80" zoomScaleSheetLayoutView="90" workbookViewId="0">
      <selection activeCell="W23" sqref="W23"/>
    </sheetView>
  </sheetViews>
  <sheetFormatPr defaultColWidth="8.7109375" defaultRowHeight="15" x14ac:dyDescent="0.25"/>
  <cols>
    <col min="1" max="3" width="12.85546875" style="22" customWidth="1"/>
    <col min="4" max="4" width="1" style="22" customWidth="1"/>
    <col min="5" max="7" width="12.85546875" style="22" customWidth="1"/>
    <col min="8" max="8" width="0.85546875" style="22" customWidth="1"/>
    <col min="9" max="11" width="13" style="22" customWidth="1"/>
    <col min="12" max="12" width="1" style="22" customWidth="1"/>
    <col min="13" max="13" width="10.42578125" style="22" customWidth="1"/>
    <col min="14" max="14" width="13" style="22" customWidth="1"/>
    <col min="15" max="15" width="16" style="22" bestFit="1" customWidth="1"/>
    <col min="16" max="16384" width="8.7109375" style="22"/>
  </cols>
  <sheetData>
    <row r="1" spans="1:15" s="21" customFormat="1" ht="47.45" customHeight="1" thickBot="1" x14ac:dyDescent="0.35">
      <c r="A1" s="15"/>
      <c r="B1" s="16"/>
      <c r="C1" s="16"/>
      <c r="D1" s="16"/>
      <c r="E1" s="9" t="str">
        <f>fund</f>
        <v>str_fund</v>
      </c>
      <c r="F1" s="16"/>
      <c r="G1" s="16"/>
      <c r="H1" s="16"/>
      <c r="I1" s="17" t="s">
        <v>1</v>
      </c>
      <c r="J1" s="18">
        <f>DataRef</f>
        <v>1</v>
      </c>
      <c r="K1" s="19"/>
      <c r="L1" s="19"/>
      <c r="M1" s="19"/>
      <c r="N1" s="17" t="s">
        <v>7</v>
      </c>
      <c r="O1" s="20">
        <f>NAV</f>
        <v>9999999999</v>
      </c>
    </row>
    <row r="2" spans="1:15" ht="5.0999999999999996" customHeight="1" x14ac:dyDescent="0.25"/>
    <row r="3" spans="1:15" s="23" customFormat="1" ht="18.75" x14ac:dyDescent="0.3">
      <c r="A3" s="8" t="s">
        <v>14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ht="3.95" customHeight="1" x14ac:dyDescent="0.25"/>
    <row r="5" spans="1:15" ht="15.75" x14ac:dyDescent="0.25">
      <c r="A5" s="27" t="s">
        <v>15</v>
      </c>
      <c r="B5" s="27"/>
      <c r="C5" s="27"/>
      <c r="D5" s="25"/>
      <c r="E5" s="27" t="s">
        <v>16</v>
      </c>
      <c r="F5" s="27"/>
      <c r="G5" s="27"/>
      <c r="H5" s="25"/>
      <c r="I5" s="27" t="s">
        <v>24</v>
      </c>
      <c r="J5" s="27"/>
      <c r="K5" s="27"/>
      <c r="L5" s="25"/>
      <c r="M5" s="27" t="s">
        <v>17</v>
      </c>
      <c r="N5" s="27"/>
      <c r="O5" s="27"/>
    </row>
    <row r="19" spans="1:15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3" spans="1:15" ht="15.75" x14ac:dyDescent="0.25">
      <c r="M23" s="27" t="s">
        <v>20</v>
      </c>
      <c r="N23" s="27"/>
      <c r="O23" s="27"/>
    </row>
    <row r="35" spans="1:15" s="24" customFormat="1" ht="18.75" x14ac:dyDescent="0.3"/>
    <row r="39" spans="1:15" ht="12.75" customHeight="1" x14ac:dyDescent="0.25"/>
    <row r="40" spans="1:15" x14ac:dyDescent="0.25">
      <c r="A40" s="98" t="s">
        <v>44</v>
      </c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</row>
    <row r="50" spans="1:15" s="24" customFormat="1" ht="18.75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</sheetData>
  <printOptions horizontalCentered="1"/>
  <pageMargins left="0.25" right="0.25" top="0.5" bottom="0.5" header="0.3" footer="0.3"/>
  <pageSetup paperSize="9" scale="87" orientation="landscape" r:id="rId1"/>
  <headerFooter>
    <oddFooter>&amp;C&amp;P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5433E-072F-4BA8-A8E9-042816CBADE8}">
  <sheetPr codeName="Sheet14">
    <pageSetUpPr fitToPage="1"/>
  </sheetPr>
  <dimension ref="A1:O63"/>
  <sheetViews>
    <sheetView showGridLines="0" view="pageBreakPreview" zoomScale="90" zoomScaleNormal="100" zoomScaleSheetLayoutView="9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4.8554687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41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5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5" s="25" customFormat="1" ht="15.75" x14ac:dyDescent="0.25"/>
    <row r="30" spans="1:15" ht="2.4500000000000002" customHeight="1" x14ac:dyDescent="0.25"/>
    <row r="31" spans="1:15" s="23" customFormat="1" ht="18.75" x14ac:dyDescent="0.3">
      <c r="A31" s="8" t="s">
        <v>42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</row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63" spans="1:13" x14ac:dyDescent="0.25">
      <c r="A63" s="99" t="s">
        <v>43</v>
      </c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</row>
  </sheetData>
  <printOptions horizontalCentered="1"/>
  <pageMargins left="0.25" right="0.25" top="0.5" bottom="0.5" header="0.3" footer="0.3"/>
  <pageSetup paperSize="9" scale="76" orientation="portrait" r:id="rId1"/>
  <headerFooter>
    <oddFooter>&amp;C&amp;P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10AC2-1224-4004-A06B-67A5CE987315}">
  <sheetPr codeName="Sheet8">
    <pageSetUpPr fitToPage="1"/>
  </sheetPr>
  <dimension ref="A1:M49"/>
  <sheetViews>
    <sheetView showGridLines="0" view="pageBreakPreview" zoomScale="90" zoomScaleNormal="100" zoomScaleSheetLayoutView="90" workbookViewId="0">
      <selection activeCell="V6" sqref="V6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4.8554687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22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/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A4A0-00F0-45F1-BEE7-8611118DA634}">
  <sheetPr codeName="Sheet21">
    <pageSetUpPr fitToPage="1"/>
  </sheetPr>
  <dimension ref="A1:M49"/>
  <sheetViews>
    <sheetView showGridLines="0" view="pageBreakPreview" zoomScale="90" zoomScaleNormal="100" zoomScaleSheetLayoutView="90" workbookViewId="0">
      <selection activeCell="U31" sqref="U31"/>
    </sheetView>
  </sheetViews>
  <sheetFormatPr defaultColWidth="8.7109375" defaultRowHeight="15" x14ac:dyDescent="0.25"/>
  <cols>
    <col min="1" max="6" width="10.5703125" style="22" customWidth="1"/>
    <col min="7" max="7" width="1.5703125" style="22" customWidth="1"/>
    <col min="8" max="8" width="10.7109375" style="22" customWidth="1"/>
    <col min="9" max="9" width="13" style="22" bestFit="1" customWidth="1"/>
    <col min="10" max="10" width="4.85546875" style="22" customWidth="1"/>
    <col min="11" max="11" width="10.42578125" style="22" customWidth="1"/>
    <col min="12" max="12" width="10" style="22" customWidth="1"/>
    <col min="13" max="13" width="16" style="22" bestFit="1" customWidth="1"/>
    <col min="14" max="16384" width="8.7109375" style="22"/>
  </cols>
  <sheetData>
    <row r="1" spans="1:13" s="21" customFormat="1" ht="47.45" customHeight="1" thickBot="1" x14ac:dyDescent="0.35">
      <c r="A1" s="15"/>
      <c r="B1" s="16"/>
      <c r="C1" s="16"/>
      <c r="D1" s="9" t="str">
        <f>fund</f>
        <v>str_fund</v>
      </c>
      <c r="E1" s="16"/>
      <c r="F1" s="16"/>
      <c r="G1" s="16"/>
      <c r="H1" s="17" t="s">
        <v>1</v>
      </c>
      <c r="I1" s="18">
        <f>DataRef</f>
        <v>1</v>
      </c>
      <c r="J1" s="19"/>
      <c r="K1" s="19"/>
      <c r="L1" s="17" t="s">
        <v>7</v>
      </c>
      <c r="M1" s="20">
        <f>NAV</f>
        <v>9999999999</v>
      </c>
    </row>
    <row r="2" spans="1:13" ht="5.45" customHeight="1" x14ac:dyDescent="0.25"/>
    <row r="3" spans="1:13" s="23" customFormat="1" ht="18.75" x14ac:dyDescent="0.3">
      <c r="A3" s="8" t="s">
        <v>55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ht="3.95" customHeight="1" x14ac:dyDescent="0.25"/>
    <row r="5" spans="1:13" s="25" customFormat="1" ht="15.75" x14ac:dyDescent="0.25"/>
    <row r="19" spans="1:13" s="24" customFormat="1" ht="18.7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4" spans="1:13" s="25" customFormat="1" ht="15.75" x14ac:dyDescent="0.25"/>
    <row r="31" spans="1:13" s="25" customFormat="1" ht="15.75" x14ac:dyDescent="0.25"/>
    <row r="35" s="24" customFormat="1" ht="18.75" x14ac:dyDescent="0.3"/>
    <row r="47" s="25" customFormat="1" ht="15.75" x14ac:dyDescent="0.25"/>
    <row r="49" spans="1:13" s="24" customFormat="1" ht="18.7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</sheetData>
  <printOptions horizontalCentered="1"/>
  <pageMargins left="0.25" right="0.25" top="0.5" bottom="0.5" header="0.3" footer="0.3"/>
  <pageSetup paperSize="9" scale="75" orientation="portrait" r:id="rId1"/>
  <headerFooter>
    <oddFooter>&amp;C&amp;P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B824-CC2C-403B-BEB6-8EB4A1D1E4A5}">
  <sheetPr codeName="Sheet12"/>
  <dimension ref="B2:D12"/>
  <sheetViews>
    <sheetView workbookViewId="0">
      <selection activeCell="C3" sqref="C3"/>
    </sheetView>
  </sheetViews>
  <sheetFormatPr defaultColWidth="9.140625" defaultRowHeight="15.75" x14ac:dyDescent="0.25"/>
  <cols>
    <col min="1" max="1" width="9.140625" style="95"/>
    <col min="2" max="2" width="59.85546875" style="95" customWidth="1"/>
    <col min="3" max="4" width="17.140625" style="95" bestFit="1" customWidth="1"/>
    <col min="5" max="16384" width="9.140625" style="95"/>
  </cols>
  <sheetData>
    <row r="2" spans="2:4" s="92" customFormat="1" x14ac:dyDescent="0.25">
      <c r="B2" s="90" t="s">
        <v>29</v>
      </c>
      <c r="C2" s="91"/>
    </row>
    <row r="3" spans="2:4" x14ac:dyDescent="0.25">
      <c r="B3" s="93" t="s">
        <v>30</v>
      </c>
      <c r="C3" s="94">
        <v>5.0500000000000003E-2</v>
      </c>
    </row>
    <row r="4" spans="2:4" x14ac:dyDescent="0.25">
      <c r="B4" s="93" t="s">
        <v>31</v>
      </c>
      <c r="C4" s="94">
        <v>2.5000000000000001E-2</v>
      </c>
    </row>
    <row r="5" spans="2:4" x14ac:dyDescent="0.25">
      <c r="B5" s="93" t="s">
        <v>32</v>
      </c>
      <c r="C5" s="94">
        <v>1.2500000000000001E-2</v>
      </c>
      <c r="D5" s="96"/>
    </row>
    <row r="6" spans="2:4" x14ac:dyDescent="0.25">
      <c r="B6" s="93" t="s">
        <v>33</v>
      </c>
      <c r="C6" s="94">
        <v>6.0000000000000001E-3</v>
      </c>
    </row>
    <row r="7" spans="2:4" x14ac:dyDescent="0.25">
      <c r="B7" s="93" t="s">
        <v>34</v>
      </c>
      <c r="C7" s="94">
        <v>6.0000000000000001E-3</v>
      </c>
      <c r="D7" s="96"/>
    </row>
    <row r="8" spans="2:4" s="92" customFormat="1" x14ac:dyDescent="0.25">
      <c r="B8" s="90" t="s">
        <v>35</v>
      </c>
      <c r="C8" s="91"/>
    </row>
    <row r="9" spans="2:4" ht="31.5" x14ac:dyDescent="0.25">
      <c r="B9" s="93" t="s">
        <v>36</v>
      </c>
      <c r="C9" s="97"/>
    </row>
    <row r="10" spans="2:4" x14ac:dyDescent="0.25">
      <c r="B10" s="93" t="s">
        <v>37</v>
      </c>
      <c r="C10" s="97"/>
    </row>
    <row r="11" spans="2:4" x14ac:dyDescent="0.25">
      <c r="B11" s="93" t="s">
        <v>38</v>
      </c>
      <c r="C11" s="97"/>
    </row>
    <row r="12" spans="2:4" x14ac:dyDescent="0.25">
      <c r="B12" s="93" t="s">
        <v>39</v>
      </c>
      <c r="C12" s="97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27</vt:i4>
      </vt:variant>
    </vt:vector>
  </HeadingPairs>
  <TitlesOfParts>
    <vt:vector size="48" baseType="lpstr">
      <vt:lpstr>Cover</vt:lpstr>
      <vt:lpstr>DD_BT</vt:lpstr>
      <vt:lpstr>FX_IR</vt:lpstr>
      <vt:lpstr>PV01_ByRisk</vt:lpstr>
      <vt:lpstr>Var_breakdown</vt:lpstr>
      <vt:lpstr>Equity_offshore</vt:lpstr>
      <vt:lpstr>Equity</vt:lpstr>
      <vt:lpstr>Equity_2</vt:lpstr>
      <vt:lpstr>Equity_3</vt:lpstr>
      <vt:lpstr>Eqty_Trader_Liq</vt:lpstr>
      <vt:lpstr>Trader</vt:lpstr>
      <vt:lpstr>Trader_Exposure</vt:lpstr>
      <vt:lpstr>Trader_Exp</vt:lpstr>
      <vt:lpstr>Trader_2</vt:lpstr>
      <vt:lpstr>Trader_STD</vt:lpstr>
      <vt:lpstr>Trade_Idea</vt:lpstr>
      <vt:lpstr>B3Fut</vt:lpstr>
      <vt:lpstr>B3Rolagem</vt:lpstr>
      <vt:lpstr>B3Eqty</vt:lpstr>
      <vt:lpstr>BondLiq</vt:lpstr>
      <vt:lpstr>RiskPolicy</vt:lpstr>
      <vt:lpstr>Aviso</vt:lpstr>
      <vt:lpstr>DataD1</vt:lpstr>
      <vt:lpstr>DataRef</vt:lpstr>
      <vt:lpstr>fund</vt:lpstr>
      <vt:lpstr>NAV</vt:lpstr>
      <vt:lpstr>B3Eqty!Print_Area</vt:lpstr>
      <vt:lpstr>B3Fut!Print_Area</vt:lpstr>
      <vt:lpstr>B3Rolagem!Print_Area</vt:lpstr>
      <vt:lpstr>BondLiq!Print_Area</vt:lpstr>
      <vt:lpstr>Cover!Print_Area</vt:lpstr>
      <vt:lpstr>DD_BT!Print_Area</vt:lpstr>
      <vt:lpstr>Eqty_Trader_Liq!Print_Area</vt:lpstr>
      <vt:lpstr>Equity!Print_Area</vt:lpstr>
      <vt:lpstr>Equity_2!Print_Area</vt:lpstr>
      <vt:lpstr>Equity_3!Print_Area</vt:lpstr>
      <vt:lpstr>Equity_offshore!Print_Area</vt:lpstr>
      <vt:lpstr>FX_IR!Print_Area</vt:lpstr>
      <vt:lpstr>PV01_ByRisk!Print_Area</vt:lpstr>
      <vt:lpstr>RiskPolicy!Print_Area</vt:lpstr>
      <vt:lpstr>Trade_Idea!Print_Area</vt:lpstr>
      <vt:lpstr>Trader!Print_Area</vt:lpstr>
      <vt:lpstr>Trader_2!Print_Area</vt:lpstr>
      <vt:lpstr>Trader_Exp!Print_Area</vt:lpstr>
      <vt:lpstr>Trader_Exposure!Print_Area</vt:lpstr>
      <vt:lpstr>Trader_STD!Print_Area</vt:lpstr>
      <vt:lpstr>Var_breakdown!Print_Area</vt:lpstr>
      <vt:lpstr>trade_exposure_remark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Pereira</dc:creator>
  <cp:lastModifiedBy>Matheus Amaral</cp:lastModifiedBy>
  <cp:lastPrinted>2022-04-13T22:01:50Z</cp:lastPrinted>
  <dcterms:created xsi:type="dcterms:W3CDTF">2020-04-16T19:47:00Z</dcterms:created>
  <dcterms:modified xsi:type="dcterms:W3CDTF">2023-01-17T13:55:09Z</dcterms:modified>
</cp:coreProperties>
</file>